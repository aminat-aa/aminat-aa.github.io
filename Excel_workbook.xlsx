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996890359332ed0d/Documents/"/>
    </mc:Choice>
  </mc:AlternateContent>
  <xr:revisionPtr revIDLastSave="8" documentId="8_{05520D97-BD2E-41E9-A0A9-DFF0A3A16D4A}" xr6:coauthVersionLast="47" xr6:coauthVersionMax="47" xr10:uidLastSave="{CF68E16A-A9AF-4CE3-B82C-E376C62D56B7}"/>
  <bookViews>
    <workbookView xWindow="-120" yWindow="-120" windowWidth="20730" windowHeight="11160" activeTab="2" xr2:uid="{2D8C338C-626A-4C6E-892C-7AFC794DD6D9}"/>
  </bookViews>
  <sheets>
    <sheet name="Retail_data" sheetId="1" r:id="rId1"/>
    <sheet name="Calculations" sheetId="2" r:id="rId2"/>
    <sheet name="dashboard" sheetId="3" r:id="rId3"/>
  </sheets>
  <definedNames>
    <definedName name="Retail">Table7[]</definedName>
    <definedName name="Slicer_Product_Category">#N/A</definedName>
    <definedName name="Slicer_Region">#N/A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alcChain>
</file>

<file path=xl/sharedStrings.xml><?xml version="1.0" encoding="utf-8"?>
<sst xmlns="http://schemas.openxmlformats.org/spreadsheetml/2006/main" count="242" uniqueCount="100">
  <si>
    <t>Order ID</t>
  </si>
  <si>
    <t>Order Date</t>
  </si>
  <si>
    <t>Customer Name</t>
  </si>
  <si>
    <t>Region</t>
  </si>
  <si>
    <t>Product Category</t>
  </si>
  <si>
    <t>Quantity Ordered</t>
  </si>
  <si>
    <t>Unit Price</t>
  </si>
  <si>
    <t>Product Cost</t>
  </si>
  <si>
    <t>Chinedu Okafor</t>
  </si>
  <si>
    <t>Lagos</t>
  </si>
  <si>
    <t>Electronics</t>
  </si>
  <si>
    <t>Funmi Alao</t>
  </si>
  <si>
    <t>Ibadan</t>
  </si>
  <si>
    <t>Fashion</t>
  </si>
  <si>
    <t>Tunde Bakare</t>
  </si>
  <si>
    <t>Abuja</t>
  </si>
  <si>
    <t>Home Decor</t>
  </si>
  <si>
    <t>Ngozi Obi</t>
  </si>
  <si>
    <t>Port Harcourt</t>
  </si>
  <si>
    <t>Blessing Emmanuel</t>
  </si>
  <si>
    <t>Kano</t>
  </si>
  <si>
    <t>Ibrahim Musa</t>
  </si>
  <si>
    <t>Kaduna</t>
  </si>
  <si>
    <t>Yetunde Adebayo</t>
  </si>
  <si>
    <t>Chioma Nwachukwu</t>
  </si>
  <si>
    <t>Segun Ogunsanya</t>
  </si>
  <si>
    <t>Fatima Umar</t>
  </si>
  <si>
    <t>Emeka Anyaoku</t>
  </si>
  <si>
    <t>Bolaji Tinubu</t>
  </si>
  <si>
    <t>Aisha Bello</t>
  </si>
  <si>
    <t>Tariq Essien</t>
  </si>
  <si>
    <t>Calabar</t>
  </si>
  <si>
    <t>Olumide Popoola</t>
  </si>
  <si>
    <t>Grace Jerry</t>
  </si>
  <si>
    <t>Amina Yusuf</t>
  </si>
  <si>
    <t>Uche Silva</t>
  </si>
  <si>
    <t>Amara Nwosu</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</si>
  <si>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</si>
  <si>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</si>
  <si>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</si>
  <si>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</si>
  <si>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</si>
  <si>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</si>
  <si>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</si>
  <si>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</si>
  <si>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</si>
  <si>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</si>
  <si>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</si>
  <si>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</si>
  <si>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</si>
  <si>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</si>
  <si>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</si>
  <si>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</si>
  <si>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</si>
  <si>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</si>
  <si>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</si>
  <si>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</si>
  <si>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</si>
  <si>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</si>
  <si>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</si>
  <si>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</si>
  <si>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</si>
  <si>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</si>
  <si>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</si>
  <si>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</si>
  <si>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</si>
  <si>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</si>
  <si>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</si>
  <si>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</si>
  <si>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</si>
  <si>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</si>
  <si>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</si>
  <si>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</si>
  <si>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</si>
  <si>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</si>
  <si>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</si>
  <si>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</si>
  <si>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</si>
  <si>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</si>
  <si>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</si>
  <si>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</si>
  <si>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</si>
  <si>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</si>
  <si>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</si>
  <si>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</si>
  <si>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</si>
  <si>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</si>
  <si>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Total Revenue</t>
  </si>
  <si>
    <t>Total Cost</t>
  </si>
  <si>
    <t>Net Profit</t>
  </si>
  <si>
    <t>Row Labels</t>
  </si>
  <si>
    <t>Grand Total</t>
  </si>
  <si>
    <t>Jan</t>
  </si>
  <si>
    <t>Feb</t>
  </si>
  <si>
    <t>Mar</t>
  </si>
  <si>
    <t>Apr</t>
  </si>
  <si>
    <t>May</t>
  </si>
  <si>
    <t>Sum of Total Revenue</t>
  </si>
  <si>
    <t>Sum of Net Profit</t>
  </si>
  <si>
    <t>Sum of Quantity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</si>
</sst>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5" x14ac:knownFonts="1">
    <font>
      <sz val="11"/>
      <color theme="1"/>
      <name val="Calibri"/>
      <family val="2"/>
      <scheme val="minor"/>
    </font>
    <font>
      <sz val="11"/>
      <color theme="1"/>
      <name val="Calibri"/>
      <family val="2"/>
      <scheme val="minor"/>
    </font>
    <font>
      <sz val="11"/>
      <color theme="1"/>
      <name val="Arial"/>
      <family val="2"/>
    </font>
    <font>
      <b/>
      <sz val="11"/>
      <color theme="0"/>
      <name val="Arial"/>
      <family val="2"/>
    </font>
    <font>
      <sz val="8"/>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542708"/>
        <bgColor indexed="64"/>
      </patternFill>
    </fill>
  </fills>
  <borders count="6">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top style="medium">
        <color rgb="FFC4C7C5"/>
      </top>
      <bottom/>
      <diagonal/>
    </border>
    <border>
      <left/>
      <right/>
      <top style="medium">
        <color rgb="FFC4C7C5"/>
      </top>
      <bottom/>
      <diagonal/>
    </border>
  </borders>
  <cellStyleXfs count="2">
    <xf numFmtId="0" fontId="0" fillId="0" borderId="0"/>
    <xf numFmtId="43" fontId="1" fillId="0" borderId="0" applyFont="0" applyFill="0" applyBorder="0" applyAlignment="0" applyProtection="0"/>
  </cellStyleXfs>
  <cellXfs count="37">
    <xf numFmtId="0" fontId="0" fillId="0" borderId="0" xfId="0"/>
    <xf numFmtId="0" fontId="3" fillId="2" borderId="4" xfId="0" applyFont="1" applyFill="1" applyBorder="1" applyAlignment="1">
      <alignment horizontal="right" vertical="center" wrapText="1" indent="1"/>
    </xf>
    <xf numFmtId="0" fontId="2" fillId="3" borderId="4" xfId="0" applyFont="1" applyFill="1" applyBorder="1" applyAlignment="1">
      <alignment horizontal="right" vertical="center" wrapText="1" indent="1"/>
    </xf>
    <xf numFmtId="0" fontId="2" fillId="0" borderId="4" xfId="0" applyFont="1" applyBorder="1" applyAlignment="1">
      <alignment horizontal="right" vertical="center" wrapText="1" indent="1"/>
    </xf>
    <xf numFmtId="0" fontId="2" fillId="0" borderId="2" xfId="0" applyFont="1" applyBorder="1" applyAlignment="1">
      <alignment horizontal="right" vertical="center" wrapText="1" indent="1"/>
    </xf>
    <xf numFmtId="0" fontId="0" fillId="0" borderId="0" xfId="0" applyAlignment="1">
      <alignment horizontal="right"/>
    </xf>
    <xf numFmtId="164" fontId="3" fillId="2" borderId="4" xfId="1" applyNumberFormat="1" applyFont="1" applyFill="1" applyBorder="1" applyAlignment="1">
      <alignment horizontal="left" vertical="center" wrapText="1" indent="1"/>
    </xf>
    <xf numFmtId="164" fontId="3" fillId="2" borderId="3" xfId="1" applyNumberFormat="1" applyFont="1" applyFill="1" applyBorder="1" applyAlignment="1">
      <alignment horizontal="left" vertical="center" wrapText="1" indent="1"/>
    </xf>
    <xf numFmtId="164" fontId="2" fillId="3" borderId="4" xfId="1" applyNumberFormat="1" applyFont="1" applyFill="1" applyBorder="1" applyAlignment="1">
      <alignment horizontal="left" vertical="center" wrapText="1" indent="1"/>
    </xf>
    <xf numFmtId="164" fontId="2" fillId="3" borderId="3" xfId="1" applyNumberFormat="1" applyFont="1" applyFill="1" applyBorder="1" applyAlignment="1">
      <alignment horizontal="left" vertical="center" wrapText="1" indent="1"/>
    </xf>
    <xf numFmtId="164" fontId="2" fillId="0" borderId="4" xfId="1" applyNumberFormat="1" applyFont="1" applyBorder="1" applyAlignment="1">
      <alignment horizontal="left" vertical="center" wrapText="1" indent="1"/>
    </xf>
    <xf numFmtId="164" fontId="2" fillId="0" borderId="3" xfId="1" applyNumberFormat="1" applyFont="1" applyBorder="1" applyAlignment="1">
      <alignment horizontal="left" vertical="center" wrapText="1" indent="1"/>
    </xf>
    <xf numFmtId="164" fontId="2" fillId="0" borderId="2" xfId="1" applyNumberFormat="1" applyFont="1" applyBorder="1" applyAlignment="1">
      <alignment horizontal="left" vertical="center" wrapText="1" indent="1"/>
    </xf>
    <xf numFmtId="164" fontId="2" fillId="0" borderId="1" xfId="1" applyNumberFormat="1" applyFont="1" applyBorder="1" applyAlignment="1">
      <alignment horizontal="left" vertical="center" wrapText="1" indent="1"/>
    </xf>
    <xf numFmtId="164" fontId="0" fillId="0" borderId="0" xfId="1" applyNumberFormat="1" applyFont="1"/>
    <xf numFmtId="0" fontId="3" fillId="2" borderId="4" xfId="0" applyFont="1" applyFill="1" applyBorder="1" applyAlignment="1">
      <alignment vertical="center" wrapText="1"/>
    </xf>
    <xf numFmtId="49" fontId="3" fillId="2" borderId="4" xfId="0" applyNumberFormat="1" applyFont="1" applyFill="1" applyBorder="1" applyAlignment="1">
      <alignment vertical="center" wrapText="1"/>
    </xf>
    <xf numFmtId="0" fontId="2" fillId="3" borderId="4" xfId="0" applyFont="1" applyFill="1" applyBorder="1" applyAlignment="1">
      <alignment vertical="center" wrapText="1"/>
    </xf>
    <xf numFmtId="49" fontId="2" fillId="3" borderId="4" xfId="0" applyNumberFormat="1" applyFont="1" applyFill="1" applyBorder="1" applyAlignment="1">
      <alignment vertical="center" wrapText="1"/>
    </xf>
    <xf numFmtId="0" fontId="2" fillId="0" borderId="4" xfId="0" applyFont="1" applyBorder="1" applyAlignment="1">
      <alignment vertical="center" wrapText="1"/>
    </xf>
    <xf numFmtId="49" fontId="2" fillId="0" borderId="4" xfId="0" applyNumberFormat="1" applyFont="1" applyBorder="1" applyAlignment="1">
      <alignment vertical="center" wrapText="1"/>
    </xf>
    <xf numFmtId="0" fontId="2" fillId="0" borderId="2" xfId="0" applyFont="1" applyBorder="1" applyAlignment="1">
      <alignment vertical="center" wrapText="1"/>
    </xf>
    <xf numFmtId="49" fontId="2" fillId="0" borderId="2" xfId="0" applyNumberFormat="1" applyFont="1" applyBorder="1" applyAlignment="1">
      <alignment vertical="center" wrapText="1"/>
    </xf>
    <xf numFmtId="49" fontId="0" fillId="0" borderId="0" xfId="0" applyNumberFormat="1"/>
    <xf numFmtId="14" fontId="2" fillId="3" borderId="4" xfId="0" applyNumberFormat="1" applyFont="1" applyFill="1" applyBorder="1" applyAlignment="1">
      <alignment horizontal="right" vertical="center" wrapText="1" indent="1"/>
    </xf>
    <xf numFmtId="14" fontId="2" fillId="0" borderId="4" xfId="0" applyNumberFormat="1" applyFont="1" applyBorder="1" applyAlignment="1">
      <alignment horizontal="right" vertical="center" wrapText="1" indent="1"/>
    </xf>
    <xf numFmtId="14" fontId="2" fillId="0" borderId="2" xfId="0" applyNumberFormat="1" applyFont="1" applyBorder="1" applyAlignment="1">
      <alignment horizontal="right" vertical="center" wrapText="1" indent="1"/>
    </xf>
    <xf numFmtId="49" fontId="3" fillId="2" borderId="5" xfId="0" applyNumberFormat="1" applyFont="1" applyFill="1" applyBorder="1" applyAlignment="1">
      <alignment horizontal="left" vertical="center" wrapText="1"/>
    </xf>
    <xf numFmtId="49" fontId="2" fillId="3" borderId="5" xfId="0" applyNumberFormat="1" applyFont="1" applyFill="1" applyBorder="1" applyAlignment="1">
      <alignment horizontal="left" vertical="center" wrapText="1"/>
    </xf>
    <xf numFmtId="49" fontId="0" fillId="0" borderId="0" xfId="0" applyNumberFormat="1" applyAlignment="1">
      <alignment horizontal="left"/>
    </xf>
    <xf numFmtId="164" fontId="3" fillId="2" borderId="0" xfId="1" applyNumberFormat="1" applyFont="1" applyFill="1" applyAlignment="1">
      <alignment horizontal="left" vertical="center" wrapText="1" indent="1"/>
    </xf>
    <xf numFmtId="164" fontId="3" fillId="2" borderId="0" xfId="1" applyNumberFormat="1" applyFont="1" applyFill="1" applyAlignment="1">
      <alignment horizontal="left" vertical="center" wrapText="1" indent="2"/>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2">
    <cellStyle name="Comma" xfId="1" builtinId="3"/>
    <cellStyle name="Normal" xfId="0" builtinId="0"/>
  </cellStyles>
  <dxfs count="15">
    <dxf>
      <font>
        <b/>
        <color theme="1"/>
      </font>
      <border>
        <bottom style="thin">
          <color theme="7"/>
        </bottom>
        <vertical/>
        <horizontal/>
      </border>
    </dxf>
    <dxf>
      <font>
        <color theme="1"/>
      </font>
      <fill>
        <patternFill>
          <bgColor rgb="FFFFD85B"/>
        </patternFill>
      </fill>
      <border diagonalUp="0" diagonalDown="0">
        <left/>
        <right/>
        <top/>
        <bottom/>
        <vertical/>
        <horizontal/>
      </border>
    </dxf>
    <dxf>
      <numFmt numFmtId="164" formatCode="_-* #,##0_-;\-* #,##0_-;_-* &quot;-&quot;??_-;_-@_-"/>
    </dxf>
    <dxf>
      <numFmt numFmtId="164" formatCode="_-* #,##0_-;\-* #,##0_-;_-* &quot;-&quot;??_-;_-@_-"/>
    </dxf>
    <dxf>
      <numFmt numFmtId="164" formatCode="_-* #,##0_-;\-* #,##0_-;_-* &quot;-&quot;??_-;_-@_-"/>
    </dxf>
    <dxf>
      <font>
        <b val="0"/>
        <i val="0"/>
        <strike val="0"/>
        <condense val="0"/>
        <extend val="0"/>
        <outline val="0"/>
        <shadow val="0"/>
        <u val="none"/>
        <vertAlign val="baseline"/>
        <sz val="11"/>
        <color theme="1"/>
        <name val="Arial"/>
        <family val="2"/>
        <scheme val="none"/>
      </font>
      <numFmt numFmtId="30" formatCode="@"/>
      <fill>
        <patternFill patternType="solid">
          <fgColor theme="4" tint="0.79998168889431442"/>
          <bgColor theme="4" tint="0.79998168889431442"/>
        </patternFill>
      </fill>
      <alignment horizontal="left" vertical="center" textRotation="0" wrapText="1" indent="0" justifyLastLine="0" shrinkToFit="0" readingOrder="0"/>
      <border diagonalUp="0" diagonalDown="0" outline="0">
        <left/>
        <right/>
        <top style="medium">
          <color rgb="FFC4C7C5"/>
        </top>
        <bottom/>
      </border>
    </dxf>
    <dxf>
      <font>
        <b val="0"/>
        <i val="0"/>
        <strike val="0"/>
        <condense val="0"/>
        <extend val="0"/>
        <outline val="0"/>
        <shadow val="0"/>
        <u val="none"/>
        <vertAlign val="baseline"/>
        <sz val="11"/>
        <color theme="1"/>
        <name val="Arial"/>
        <family val="2"/>
        <scheme val="none"/>
      </font>
      <numFmt numFmtId="19" formatCode="dd/mm/yyyy"/>
      <alignment horizontal="right" vertical="center" textRotation="0" wrapText="1" indent="1" justifyLastLine="0" shrinkToFit="0" readingOrder="0"/>
      <border diagonalUp="0" diagonalDown="0" outline="0">
        <left/>
        <right/>
        <top style="medium">
          <color rgb="FFC4C7C5"/>
        </top>
        <bottom/>
      </border>
    </dxf>
    <dxf>
      <font>
        <b val="0"/>
        <i val="0"/>
        <strike val="0"/>
        <condense val="0"/>
        <extend val="0"/>
        <outline val="0"/>
        <shadow val="0"/>
        <u val="none"/>
        <vertAlign val="baseline"/>
        <sz val="11"/>
        <color theme="1"/>
        <name val="Arial"/>
        <family val="2"/>
        <scheme val="none"/>
      </font>
      <numFmt numFmtId="164" formatCode="_-* #,##0_-;\-* #,##0_-;_-* &quot;-&quot;??_-;_-@_-"/>
      <alignment horizontal="left" vertical="center" textRotation="0" wrapText="1" indent="1" justifyLastLine="0" shrinkToFit="0" readingOrder="0"/>
      <border diagonalUp="0" diagonalDown="0" outline="0">
        <left style="medium">
          <color rgb="FFC4C7C5"/>
        </left>
        <right/>
        <top style="medium">
          <color rgb="FFC4C7C5"/>
        </top>
        <bottom/>
      </border>
    </dxf>
    <dxf>
      <font>
        <b val="0"/>
        <i val="0"/>
        <strike val="0"/>
        <condense val="0"/>
        <extend val="0"/>
        <outline val="0"/>
        <shadow val="0"/>
        <u val="none"/>
        <vertAlign val="baseline"/>
        <sz val="11"/>
        <color theme="1"/>
        <name val="Arial"/>
        <family val="2"/>
        <scheme val="none"/>
      </font>
      <numFmt numFmtId="164" formatCode="_-* #,##0_-;\-* #,##0_-;_-* &quot;-&quot;??_-;_-@_-"/>
      <alignment horizontal="left" vertical="center" textRotation="0" wrapText="1" indent="1" justifyLastLine="0" shrinkToFit="0" readingOrder="0"/>
      <border diagonalUp="0" diagonalDown="0">
        <left style="medium">
          <color rgb="FFC4C7C5"/>
        </left>
        <right/>
        <top style="medium">
          <color rgb="FFC4C7C5"/>
        </top>
        <bottom/>
        <vertical/>
        <horizontal/>
      </border>
    </dxf>
    <dxf>
      <font>
        <b val="0"/>
        <i val="0"/>
        <strike val="0"/>
        <condense val="0"/>
        <extend val="0"/>
        <outline val="0"/>
        <shadow val="0"/>
        <u val="none"/>
        <vertAlign val="baseline"/>
        <sz val="11"/>
        <color theme="1"/>
        <name val="Arial"/>
        <family val="2"/>
        <scheme val="none"/>
      </font>
      <numFmt numFmtId="0" formatCode="General"/>
      <alignment horizontal="right" vertical="center" textRotation="0" wrapText="1" indent="1" justifyLastLine="0" shrinkToFit="0" readingOrder="0"/>
      <border diagonalUp="0" diagonalDown="0">
        <left style="medium">
          <color rgb="FFC4C7C5"/>
        </left>
        <right/>
        <top style="medium">
          <color rgb="FFC4C7C5"/>
        </top>
        <bottom/>
        <vertical/>
        <horizontal/>
      </border>
    </dxf>
    <dxf>
      <font>
        <b val="0"/>
        <i val="0"/>
        <strike val="0"/>
        <condense val="0"/>
        <extend val="0"/>
        <outline val="0"/>
        <shadow val="0"/>
        <u val="none"/>
        <vertAlign val="baseline"/>
        <sz val="11"/>
        <color theme="1"/>
        <name val="Arial"/>
        <family val="2"/>
        <scheme val="none"/>
      </font>
      <numFmt numFmtId="30" formatCode="@"/>
      <alignment horizontal="general" vertical="center" textRotation="0" wrapText="1" indent="0" justifyLastLine="0" shrinkToFit="0" readingOrder="0"/>
      <border diagonalUp="0" diagonalDown="0">
        <left style="medium">
          <color rgb="FFC4C7C5"/>
        </left>
        <right/>
        <top style="medium">
          <color rgb="FFC4C7C5"/>
        </top>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medium">
          <color rgb="FFC4C7C5"/>
        </left>
        <right/>
        <top style="medium">
          <color rgb="FFC4C7C5"/>
        </top>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medium">
          <color rgb="FFC4C7C5"/>
        </left>
        <right/>
        <top style="medium">
          <color rgb="FFC4C7C5"/>
        </top>
        <bottom/>
        <vertical/>
        <horizontal/>
      </border>
    </dxf>
    <dxf>
      <border outline="0">
        <left style="medium">
          <color rgb="FFC4C7C5"/>
        </left>
      </border>
    </dxf>
    <dxf>
      <font>
        <b/>
        <i val="0"/>
        <strike val="0"/>
        <condense val="0"/>
        <extend val="0"/>
        <outline val="0"/>
        <shadow val="0"/>
        <u val="none"/>
        <vertAlign val="baseline"/>
        <sz val="11"/>
        <color theme="0"/>
        <name val="Arial"/>
        <family val="2"/>
        <scheme val="none"/>
      </font>
      <numFmt numFmtId="164" formatCode="_-* #,##0_-;\-* #,##0_-;_-* &quot;-&quot;??_-;_-@_-"/>
      <fill>
        <patternFill patternType="solid">
          <fgColor theme="4"/>
          <bgColor theme="4"/>
        </patternFill>
      </fill>
      <alignment horizontal="left" vertical="center" textRotation="0" wrapText="1" indent="1" justifyLastLine="0" shrinkToFit="0" readingOrder="0"/>
    </dxf>
  </dxfs>
  <tableStyles count="1" defaultTableStyle="TableStyleMedium2" defaultPivotStyle="PivotStyleLight16">
    <tableStyle name="My customm theme" pivot="0" table="0" count="10" xr9:uid="{3058F33C-2DE3-4132-B19D-EFCD68ED3A9C}">
      <tableStyleElement type="wholeTable" dxfId="1"/>
      <tableStyleElement type="headerRow" dxfId="0"/>
    </tableStyle>
  </tableStyles>
  <colors>
    <mruColors>
      <color rgb="FFFFD85B"/>
      <color rgb="FF542708"/>
      <color rgb="FF74350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customm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Calculations!$A$4:$A$7</c:f>
              <c:strCache>
                <c:ptCount val="3"/>
                <c:pt idx="0">
                  <c:v>Electronics</c:v>
                </c:pt>
                <c:pt idx="1">
                  <c:v>Fashion</c:v>
                </c:pt>
                <c:pt idx="2">
                  <c:v>Home Decor</c:v>
                </c:pt>
              </c:strCache>
            </c:strRef>
          </c:cat>
          <c:val>
            <c:numRef>
              <c:f>Calculations!$B$4:$B$7</c:f>
              <c:numCache>
                <c:formatCode>_-* #,##0_-;\-* #,##0_-;_-* "-"??_-;_-@_-</c:formatCode>
                <c:ptCount val="3"/>
                <c:pt idx="0">
                  <c:v>1792000</c:v>
                </c:pt>
                <c:pt idx="1">
                  <c:v>650000</c:v>
                </c:pt>
                <c:pt idx="2">
                  <c:v>1146500</c:v>
                </c:pt>
              </c:numCache>
            </c:numRef>
          </c:val>
          <c:extLst>
            <c:ext xmlns:c16="http://schemas.microsoft.com/office/drawing/2014/chart" uri="{C3380CC4-5D6E-409C-BE32-E72D297353CC}">
              <c16:uniqueId val="{00000000-CCA7-407F-90B7-C641394F7A5B}"/>
            </c:ext>
          </c:extLst>
        </c:ser>
        <c:dLbls>
          <c:dLblPos val="outEnd"/>
          <c:showLegendKey val="0"/>
          <c:showVal val="1"/>
          <c:showCatName val="0"/>
          <c:showSerName val="0"/>
          <c:showPercent val="0"/>
          <c:showBubbleSize val="0"/>
        </c:dLbls>
        <c:gapWidth val="219"/>
        <c:overlap val="-27"/>
        <c:axId val="593317264"/>
        <c:axId val="593317744"/>
      </c:barChart>
      <c:catAx>
        <c:axId val="59331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3317744"/>
        <c:crosses val="autoZero"/>
        <c:auto val="1"/>
        <c:lblAlgn val="ctr"/>
        <c:lblOffset val="100"/>
        <c:noMultiLvlLbl val="0"/>
      </c:catAx>
      <c:valAx>
        <c:axId val="593317744"/>
        <c:scaling>
          <c:orientation val="minMax"/>
        </c:scaling>
        <c:delete val="1"/>
        <c:axPos val="l"/>
        <c:numFmt formatCode="_-* #,##0_-;\-* #,##0_-;_-* &quot;-&quot;??_-;_-@_-" sourceLinked="1"/>
        <c:majorTickMark val="none"/>
        <c:minorTickMark val="none"/>
        <c:tickLblPos val="nextTo"/>
        <c:crossAx val="59331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Calculations!$A$22:$A$27</c:f>
              <c:strCache>
                <c:ptCount val="5"/>
                <c:pt idx="0">
                  <c:v>Jan</c:v>
                </c:pt>
                <c:pt idx="1">
                  <c:v>Feb</c:v>
                </c:pt>
                <c:pt idx="2">
                  <c:v>Mar</c:v>
                </c:pt>
                <c:pt idx="3">
                  <c:v>Apr</c:v>
                </c:pt>
                <c:pt idx="4">
                  <c:v>May</c:v>
                </c:pt>
              </c:strCache>
            </c:strRef>
          </c:cat>
          <c:val>
            <c:numRef>
              <c:f>Calculations!$B$22:$B$27</c:f>
              <c:numCache>
                <c:formatCode>_-* #,##0_-;\-* #,##0_-;_-* "-"??_-;_-@_-</c:formatCode>
                <c:ptCount val="5"/>
                <c:pt idx="0">
                  <c:v>162000</c:v>
                </c:pt>
                <c:pt idx="1">
                  <c:v>206500</c:v>
                </c:pt>
                <c:pt idx="2">
                  <c:v>232500</c:v>
                </c:pt>
                <c:pt idx="3">
                  <c:v>264500</c:v>
                </c:pt>
                <c:pt idx="4">
                  <c:v>438000</c:v>
                </c:pt>
              </c:numCache>
            </c:numRef>
          </c:val>
          <c:smooth val="0"/>
          <c:extLst>
            <c:ext xmlns:c16="http://schemas.microsoft.com/office/drawing/2014/chart" uri="{C3380CC4-5D6E-409C-BE32-E72D297353CC}">
              <c16:uniqueId val="{00000000-AB49-4C78-9062-C7F2C05516B7}"/>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79769776"/>
        <c:axId val="593311504"/>
      </c:lineChart>
      <c:catAx>
        <c:axId val="127976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3311504"/>
        <c:crosses val="autoZero"/>
        <c:auto val="1"/>
        <c:lblAlgn val="ctr"/>
        <c:lblOffset val="100"/>
        <c:noMultiLvlLbl val="0"/>
      </c:catAx>
      <c:valAx>
        <c:axId val="593311504"/>
        <c:scaling>
          <c:orientation val="minMax"/>
        </c:scaling>
        <c:delete val="1"/>
        <c:axPos val="l"/>
        <c:numFmt formatCode="_-* #,##0_-;\-* #,##0_-;_-* &quot;-&quot;??_-;_-@_-" sourceLinked="1"/>
        <c:majorTickMark val="out"/>
        <c:minorTickMark val="none"/>
        <c:tickLblPos val="nextTo"/>
        <c:crossAx val="127976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NET</a:t>
            </a:r>
            <a:r>
              <a:rPr lang="en-US" baseline="0">
                <a:latin typeface="Arial" panose="020B0604020202020204" pitchFamily="34" charset="0"/>
                <a:cs typeface="Arial" panose="020B0604020202020204" pitchFamily="34" charset="0"/>
              </a:rPr>
              <a:t> PROFIT BY REGION</a:t>
            </a:r>
            <a:endParaRPr lang="en-US">
              <a:latin typeface="Arial" panose="020B0604020202020204" pitchFamily="34" charset="0"/>
              <a:cs typeface="Arial" panose="020B0604020202020204" pitchFamily="34" charset="0"/>
            </a:endParaRPr>
          </a:p>
        </c:rich>
      </c:tx>
      <c:layout>
        <c:manualLayout>
          <c:xMode val="edge"/>
          <c:yMode val="edge"/>
          <c:x val="0.32542404226664157"/>
          <c:y val="5.412974283510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303519670191922"/>
          <c:y val="0.14851510554759637"/>
          <c:w val="0.49043779837711915"/>
          <c:h val="0.82948050572954146"/>
        </c:manualLayout>
      </c:layout>
      <c:doughnutChart>
        <c:varyColors val="1"/>
        <c:ser>
          <c:idx val="0"/>
          <c:order val="0"/>
          <c:tx>
            <c:strRef>
              <c:f>Calculations!$B$39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Calculations!$A$40:$A$47</c:f>
              <c:strCache>
                <c:ptCount val="7"/>
                <c:pt idx="0">
                  <c:v>Abuja</c:v>
                </c:pt>
                <c:pt idx="1">
                  <c:v>Calabar</c:v>
                </c:pt>
                <c:pt idx="2">
                  <c:v>Ibadan</c:v>
                </c:pt>
                <c:pt idx="3">
                  <c:v>Kaduna</c:v>
                </c:pt>
                <c:pt idx="4">
                  <c:v>Kano</c:v>
                </c:pt>
                <c:pt idx="5">
                  <c:v>Lagos</c:v>
                </c:pt>
                <c:pt idx="6">
                  <c:v>Port Harcourt</c:v>
                </c:pt>
              </c:strCache>
            </c:strRef>
          </c:cat>
          <c:val>
            <c:numRef>
              <c:f>Calculations!$B$40:$B$47</c:f>
              <c:numCache>
                <c:formatCode>_-* #,##0_-;\-* #,##0_-;_-* "-"??_-;_-@_-</c:formatCode>
                <c:ptCount val="7"/>
                <c:pt idx="0">
                  <c:v>222500</c:v>
                </c:pt>
                <c:pt idx="1">
                  <c:v>42500</c:v>
                </c:pt>
                <c:pt idx="2">
                  <c:v>176000</c:v>
                </c:pt>
                <c:pt idx="3">
                  <c:v>101000</c:v>
                </c:pt>
                <c:pt idx="4">
                  <c:v>198500</c:v>
                </c:pt>
                <c:pt idx="5">
                  <c:v>342000</c:v>
                </c:pt>
                <c:pt idx="6">
                  <c:v>221000</c:v>
                </c:pt>
              </c:numCache>
            </c:numRef>
          </c:val>
          <c:extLst>
            <c:ext xmlns:c16="http://schemas.microsoft.com/office/drawing/2014/chart" uri="{C3380CC4-5D6E-409C-BE32-E72D297353CC}">
              <c16:uniqueId val="{00000000-E956-4F82-9C4F-E481D7BA1E1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latin typeface="Arial" panose="020B0604020202020204" pitchFamily="34" charset="0"/>
                <a:cs typeface="Arial" panose="020B0604020202020204" pitchFamily="34" charset="0"/>
              </a:rPr>
              <a:t>NET PROFIT BY PRODUCT CATEGORY</a:t>
            </a:r>
            <a:endParaRPr lang="en-GB">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Calculations!$B$58</c:f>
              <c:strCache>
                <c:ptCount val="1"/>
                <c:pt idx="0">
                  <c:v>Sum of Quantity Ordered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Calculations!$A$59:$A$62</c:f>
              <c:strCache>
                <c:ptCount val="3"/>
                <c:pt idx="0">
                  <c:v>Electronics</c:v>
                </c:pt>
                <c:pt idx="1">
                  <c:v>Fashion</c:v>
                </c:pt>
                <c:pt idx="2">
                  <c:v>Home Decor</c:v>
                </c:pt>
              </c:strCache>
            </c:strRef>
          </c:cat>
          <c:val>
            <c:numRef>
              <c:f>Calculations!$B$59:$B$62</c:f>
              <c:numCache>
                <c:formatCode>General</c:formatCode>
                <c:ptCount val="3"/>
                <c:pt idx="0">
                  <c:v>24</c:v>
                </c:pt>
                <c:pt idx="1">
                  <c:v>47</c:v>
                </c:pt>
                <c:pt idx="2">
                  <c:v>32</c:v>
                </c:pt>
              </c:numCache>
            </c:numRef>
          </c:val>
          <c:extLst>
            <c:ext xmlns:c16="http://schemas.microsoft.com/office/drawing/2014/chart" uri="{C3380CC4-5D6E-409C-BE32-E72D297353CC}">
              <c16:uniqueId val="{00000000-A1F8-4806-85EC-71EE57942478}"/>
            </c:ext>
          </c:extLst>
        </c:ser>
        <c:dLbls>
          <c:showLegendKey val="0"/>
          <c:showVal val="1"/>
          <c:showCatName val="0"/>
          <c:showSerName val="0"/>
          <c:showPercent val="0"/>
          <c:showBubbleSize val="0"/>
        </c:dLbls>
        <c:gapWidth val="150"/>
        <c:axId val="1302113904"/>
        <c:axId val="1302114384"/>
      </c:barChart>
      <c:lineChart>
        <c:grouping val="standard"/>
        <c:varyColors val="0"/>
        <c:ser>
          <c:idx val="1"/>
          <c:order val="1"/>
          <c:tx>
            <c:strRef>
              <c:f>Calculations!$C$58</c:f>
              <c:strCache>
                <c:ptCount val="1"/>
                <c:pt idx="0">
                  <c:v>Sum of Net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Calculations!$A$59:$A$62</c:f>
              <c:strCache>
                <c:ptCount val="3"/>
                <c:pt idx="0">
                  <c:v>Electronics</c:v>
                </c:pt>
                <c:pt idx="1">
                  <c:v>Fashion</c:v>
                </c:pt>
                <c:pt idx="2">
                  <c:v>Home Decor</c:v>
                </c:pt>
              </c:strCache>
            </c:strRef>
          </c:cat>
          <c:val>
            <c:numRef>
              <c:f>Calculations!$C$59:$C$62</c:f>
              <c:numCache>
                <c:formatCode>_-* #,##0_-;\-* #,##0_-;_-* "-"??_-;_-@_-</c:formatCode>
                <c:ptCount val="3"/>
                <c:pt idx="0">
                  <c:v>532000</c:v>
                </c:pt>
                <c:pt idx="1">
                  <c:v>347500</c:v>
                </c:pt>
                <c:pt idx="2">
                  <c:v>424000</c:v>
                </c:pt>
              </c:numCache>
            </c:numRef>
          </c:val>
          <c:smooth val="0"/>
          <c:extLst>
            <c:ext xmlns:c16="http://schemas.microsoft.com/office/drawing/2014/chart" uri="{C3380CC4-5D6E-409C-BE32-E72D297353CC}">
              <c16:uniqueId val="{00000001-A1F8-4806-85EC-71EE57942478}"/>
            </c:ext>
          </c:extLst>
        </c:ser>
        <c:dLbls>
          <c:showLegendKey val="0"/>
          <c:showVal val="1"/>
          <c:showCatName val="0"/>
          <c:showSerName val="0"/>
          <c:showPercent val="0"/>
          <c:showBubbleSize val="0"/>
        </c:dLbls>
        <c:marker val="1"/>
        <c:smooth val="0"/>
        <c:axId val="1302058704"/>
        <c:axId val="1302051984"/>
      </c:lineChart>
      <c:catAx>
        <c:axId val="1302113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02114384"/>
        <c:auto val="1"/>
        <c:lblAlgn val="ctr"/>
        <c:lblOffset val="100"/>
        <c:noMultiLvlLbl val="0"/>
      </c:catAx>
      <c:valAx>
        <c:axId val="1302114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02113904"/>
        <c:crossBetween val="between"/>
      </c:valAx>
      <c:valAx>
        <c:axId val="130205198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02058704"/>
        <c:crosses val="max"/>
        <c:crossBetween val="between"/>
      </c:valAx>
      <c:catAx>
        <c:axId val="1302058704"/>
        <c:scaling>
          <c:orientation val="minMax"/>
        </c:scaling>
        <c:delete val="1"/>
        <c:axPos val="t"/>
        <c:numFmt formatCode="General" sourceLinked="1"/>
        <c:majorTickMark val="out"/>
        <c:minorTickMark val="none"/>
        <c:tickLblPos val="nextTo"/>
        <c:crossAx val="13020519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[Book2.xlsx]Calculations!PivotTable6</c:name>
    <c:fmtId val="6"/>
  </c:pivotSource>
  <c:chart>
    <c:title>
      <c:tx>
        <c:rich>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r>
              <a:rPr lang="en-NG" sz="1400" b="1" i="0" u="none" strike="noStrike" baseline="0">
                <a:latin typeface="Arial" panose="020B0604020202020204" pitchFamily="34" charset="0"/>
                <a:cs typeface="Arial" panose="020B0604020202020204" pitchFamily="34" charset="0"/>
              </a:rPr>
              <a:t>PRODUCT CATEGORY PERFORMANCE: SALES VOLUME VS. NET PROFIT</a:t>
            </a:r>
            <a:endParaRPr lang="en-GB" b="1">
              <a:solidFill>
                <a:schemeClr val="accent4">
                  <a:lumMod val="60000"/>
                  <a:lumOff val="4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60000"/>
                  <a:lumOff val="40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pivotFmt>
    </c:pivotFmts>
    <c:plotArea>
      <c:layout/>
      <c:barChart>
        <c:barDir val="col"/>
        <c:grouping val="clustered"/>
        <c:varyColors val="0"/>
        <c:ser>
          <c:idx val="0"/>
          <c:order val="0"/>
          <c:tx>
            <c:strRef>
              <c:f>Calculations!$B$58</c:f>
              <c:strCache>
                <c:ptCount val="1"/>
                <c:pt idx="0">
                  <c:v>Sum of Quantity Ordered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Calculations!$A$59:$A$62</c:f>
              <c:strCache>
                <c:ptCount val="3"/>
                <c:pt idx="0">
                  <c:v>Electronics</c:v>
                </c:pt>
                <c:pt idx="1">
                  <c:v>Fashion</c:v>
                </c:pt>
                <c:pt idx="2">
                  <c:v>Home Decor</c:v>
                </c:pt>
              </c:strCache>
            </c:strRef>
          </c:cat>
          <c:val>
            <c:numRef>
              <c:f>Calculations!$B$59:$B$62</c:f>
              <c:numCache>
                <c:formatCode>General</c:formatCode>
                <c:ptCount val="3"/>
                <c:pt idx="0">
                  <c:v>24</c:v>
                </c:pt>
                <c:pt idx="1">
                  <c:v>47</c:v>
                </c:pt>
                <c:pt idx="2">
                  <c:v>32</c:v>
                </c:pt>
              </c:numCache>
            </c:numRef>
          </c:val>
          <c:extLst>
            <c:ext xmlns:c16="http://schemas.microsoft.com/office/drawing/2014/chart" uri="{C3380CC4-5D6E-409C-BE32-E72D297353CC}">
              <c16:uniqueId val="{00000000-EDA2-450F-84F5-C1A4520EE588}"/>
            </c:ext>
          </c:extLst>
        </c:ser>
        <c:dLbls>
          <c:showLegendKey val="0"/>
          <c:showVal val="1"/>
          <c:showCatName val="0"/>
          <c:showSerName val="0"/>
          <c:showPercent val="0"/>
          <c:showBubbleSize val="0"/>
        </c:dLbls>
        <c:gapWidth val="150"/>
        <c:axId val="1302113904"/>
        <c:axId val="1302114384"/>
      </c:barChart>
      <c:lineChart>
        <c:grouping val="standard"/>
        <c:varyColors val="0"/>
        <c:ser>
          <c:idx val="1"/>
          <c:order val="1"/>
          <c:tx>
            <c:strRef>
              <c:f>Calculations!$C$58</c:f>
              <c:strCache>
                <c:ptCount val="1"/>
                <c:pt idx="0">
                  <c:v>Sum of Net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Calculations!$A$59:$A$62</c:f>
              <c:strCache>
                <c:ptCount val="3"/>
                <c:pt idx="0">
                  <c:v>Electronics</c:v>
                </c:pt>
                <c:pt idx="1">
                  <c:v>Fashion</c:v>
                </c:pt>
                <c:pt idx="2">
                  <c:v>Home Decor</c:v>
                </c:pt>
              </c:strCache>
            </c:strRef>
          </c:cat>
          <c:val>
            <c:numRef>
              <c:f>Calculations!$C$59:$C$62</c:f>
              <c:numCache>
                <c:formatCode>_-* #,##0_-;\-* #,##0_-;_-* "-"??_-;_-@_-</c:formatCode>
                <c:ptCount val="3"/>
                <c:pt idx="0">
                  <c:v>532000</c:v>
                </c:pt>
                <c:pt idx="1">
                  <c:v>347500</c:v>
                </c:pt>
                <c:pt idx="2">
                  <c:v>424000</c:v>
                </c:pt>
              </c:numCache>
            </c:numRef>
          </c:val>
          <c:smooth val="0"/>
          <c:extLst>
            <c:ext xmlns:c16="http://schemas.microsoft.com/office/drawing/2014/chart" uri="{C3380CC4-5D6E-409C-BE32-E72D297353CC}">
              <c16:uniqueId val="{00000001-EDA2-450F-84F5-C1A4520EE588}"/>
            </c:ext>
          </c:extLst>
        </c:ser>
        <c:dLbls>
          <c:showLegendKey val="0"/>
          <c:showVal val="1"/>
          <c:showCatName val="0"/>
          <c:showSerName val="0"/>
          <c:showPercent val="0"/>
          <c:showBubbleSize val="0"/>
        </c:dLbls>
        <c:marker val="1"/>
        <c:smooth val="0"/>
        <c:axId val="1302058704"/>
        <c:axId val="1302051984"/>
      </c:lineChart>
      <c:catAx>
        <c:axId val="1302113904"/>
        <c:scaling>
          <c:orientation val="minMax"/>
        </c:scaling>
        <c:delete val="0"/>
        <c:axPos val="b"/>
        <c:numFmt formatCode="General" sourceLinked="1"/>
        <c:majorTickMark val="out"/>
        <c:minorTickMark val="none"/>
        <c:tickLblPos val="nextTo"/>
        <c:spPr>
          <a:noFill/>
          <a:ln w="9525" cap="flat" cmpd="sng" algn="ctr">
            <a:solidFill>
              <a:schemeClr val="accent4">
                <a:lumMod val="60000"/>
                <a:lumOff val="40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crossAx val="1302114384"/>
        <c:crosses val="autoZero"/>
        <c:auto val="1"/>
        <c:lblAlgn val="ctr"/>
        <c:lblOffset val="100"/>
        <c:noMultiLvlLbl val="0"/>
      </c:catAx>
      <c:valAx>
        <c:axId val="1302114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crossAx val="1302113904"/>
        <c:crosses val="autoZero"/>
        <c:crossBetween val="between"/>
      </c:valAx>
      <c:valAx>
        <c:axId val="130205198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crossAx val="1302058704"/>
        <c:crosses val="max"/>
        <c:crossBetween val="between"/>
      </c:valAx>
      <c:catAx>
        <c:axId val="1302058704"/>
        <c:scaling>
          <c:orientation val="minMax"/>
        </c:scaling>
        <c:delete val="1"/>
        <c:axPos val="t"/>
        <c:numFmt formatCode="General" sourceLinked="1"/>
        <c:majorTickMark val="out"/>
        <c:minorTickMark val="none"/>
        <c:tickLblPos val="nextTo"/>
        <c:crossAx val="13020519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2">
          <a:satMod val="175000"/>
          <a:alpha val="40000"/>
        </a:schemeClr>
      </a:glow>
      <a:outerShdw blurRad="50800" dir="10800000" algn="tr" rotWithShape="0">
        <a:prstClr val="black">
          <a:alpha val="49000"/>
        </a:prstClr>
      </a:outerShdw>
      <a:softEdge rad="31750"/>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[Book2.xlsx]Calculations!PivotTable5</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60000"/>
                    <a:lumOff val="40000"/>
                  </a:schemeClr>
                </a:solidFill>
                <a:latin typeface="Arial" panose="020B0604020202020204" pitchFamily="34" charset="0"/>
                <a:cs typeface="Arial" panose="020B0604020202020204" pitchFamily="34" charset="0"/>
              </a:rPr>
              <a:t>NET</a:t>
            </a:r>
            <a:r>
              <a:rPr lang="en-US" b="1" baseline="0">
                <a:solidFill>
                  <a:schemeClr val="accent4">
                    <a:lumMod val="60000"/>
                    <a:lumOff val="40000"/>
                  </a:schemeClr>
                </a:solidFill>
                <a:latin typeface="Arial" panose="020B0604020202020204" pitchFamily="34" charset="0"/>
                <a:cs typeface="Arial" panose="020B0604020202020204" pitchFamily="34" charset="0"/>
              </a:rPr>
              <a:t> PROFIT BY REGION</a:t>
            </a:r>
            <a:endParaRPr lang="en-US" b="1">
              <a:solidFill>
                <a:schemeClr val="accent4">
                  <a:lumMod val="60000"/>
                  <a:lumOff val="40000"/>
                </a:schemeClr>
              </a:solidFill>
              <a:latin typeface="Arial" panose="020B0604020202020204" pitchFamily="34" charset="0"/>
              <a:cs typeface="Arial" panose="020B0604020202020204" pitchFamily="34" charset="0"/>
            </a:endParaRPr>
          </a:p>
        </c:rich>
      </c:tx>
      <c:layout>
        <c:manualLayout>
          <c:xMode val="edge"/>
          <c:yMode val="edge"/>
          <c:x val="0.27081363085574522"/>
          <c:y val="1.1868992490759475E-2"/>
        </c:manualLayout>
      </c:layout>
      <c:overlay val="1"/>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tx2">
              <a:lumMod val="50000"/>
            </a:schemeClr>
          </a:solidFill>
          <a:ln w="19050">
            <a:solidFill>
              <a:schemeClr val="lt1"/>
            </a:solidFill>
          </a:ln>
          <a:effectLst/>
        </c:spPr>
      </c:pivotFmt>
      <c:pivotFmt>
        <c:idx val="15"/>
        <c:spPr>
          <a:solidFill>
            <a:schemeClr val="accent4">
              <a:lumMod val="75000"/>
            </a:schemeClr>
          </a:solidFill>
          <a:ln w="19050">
            <a:solidFill>
              <a:schemeClr val="lt1"/>
            </a:solidFill>
          </a:ln>
          <a:effectLst/>
        </c:spPr>
      </c:pivotFmt>
      <c:pivotFmt>
        <c:idx val="16"/>
        <c:spPr>
          <a:solidFill>
            <a:schemeClr val="bg1"/>
          </a:solidFill>
          <a:ln w="19050">
            <a:solidFill>
              <a:schemeClr val="lt1"/>
            </a:solidFill>
          </a:ln>
          <a:effectLst/>
        </c:spPr>
      </c:pivotFmt>
    </c:pivotFmts>
    <c:plotArea>
      <c:layout>
        <c:manualLayout>
          <c:layoutTarget val="inner"/>
          <c:xMode val="edge"/>
          <c:yMode val="edge"/>
          <c:x val="0.27303519670191922"/>
          <c:y val="0.14851510554759637"/>
          <c:w val="0.49043779837711915"/>
          <c:h val="0.82948050572954146"/>
        </c:manualLayout>
      </c:layout>
      <c:doughnutChart>
        <c:varyColors val="1"/>
        <c:ser>
          <c:idx val="0"/>
          <c:order val="0"/>
          <c:tx>
            <c:strRef>
              <c:f>Calculations!$B$39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11-40FD-843B-D264CEBA3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11-40FD-843B-D264CEBA3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11-40FD-843B-D264CEBA36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11-40FD-843B-D264CEBA3624}"/>
              </c:ext>
            </c:extLst>
          </c:dPt>
          <c:dPt>
            <c:idx val="4"/>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9-CD11-40FD-843B-D264CEBA3624}"/>
              </c:ext>
            </c:extLst>
          </c:dPt>
          <c:dPt>
            <c:idx val="5"/>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B-CD11-40FD-843B-D264CEBA3624}"/>
              </c:ext>
            </c:extLst>
          </c:dPt>
          <c:dPt>
            <c:idx val="6"/>
            <c:bubble3D val="0"/>
            <c:spPr>
              <a:solidFill>
                <a:schemeClr val="bg1"/>
              </a:solidFill>
              <a:ln w="19050">
                <a:solidFill>
                  <a:schemeClr val="lt1"/>
                </a:solidFill>
              </a:ln>
              <a:effectLst/>
            </c:spPr>
            <c:extLst>
              <c:ext xmlns:c16="http://schemas.microsoft.com/office/drawing/2014/chart" uri="{C3380CC4-5D6E-409C-BE32-E72D297353CC}">
                <c16:uniqueId val="{0000000D-CD11-40FD-843B-D264CEBA3624}"/>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4">
                        <a:lumMod val="40000"/>
                        <a:lumOff val="60000"/>
                      </a:schemeClr>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Calculations!$A$40:$A$47</c:f>
              <c:strCache>
                <c:ptCount val="7"/>
                <c:pt idx="0">
                  <c:v>Abuja</c:v>
                </c:pt>
                <c:pt idx="1">
                  <c:v>Calabar</c:v>
                </c:pt>
                <c:pt idx="2">
                  <c:v>Ibadan</c:v>
                </c:pt>
                <c:pt idx="3">
                  <c:v>Kaduna</c:v>
                </c:pt>
                <c:pt idx="4">
                  <c:v>Kano</c:v>
                </c:pt>
                <c:pt idx="5">
                  <c:v>Lagos</c:v>
                </c:pt>
                <c:pt idx="6">
                  <c:v>Port Harcourt</c:v>
                </c:pt>
              </c:strCache>
            </c:strRef>
          </c:cat>
          <c:val>
            <c:numRef>
              <c:f>Calculations!$B$40:$B$47</c:f>
              <c:numCache>
                <c:formatCode>_-* #,##0_-;\-* #,##0_-;_-* "-"??_-;_-@_-</c:formatCode>
                <c:ptCount val="7"/>
                <c:pt idx="0">
                  <c:v>222500</c:v>
                </c:pt>
                <c:pt idx="1">
                  <c:v>42500</c:v>
                </c:pt>
                <c:pt idx="2">
                  <c:v>176000</c:v>
                </c:pt>
                <c:pt idx="3">
                  <c:v>101000</c:v>
                </c:pt>
                <c:pt idx="4">
                  <c:v>198500</c:v>
                </c:pt>
                <c:pt idx="5">
                  <c:v>342000</c:v>
                </c:pt>
                <c:pt idx="6">
                  <c:v>221000</c:v>
                </c:pt>
              </c:numCache>
            </c:numRef>
          </c:val>
          <c:extLst>
            <c:ext xmlns:c16="http://schemas.microsoft.com/office/drawing/2014/chart" uri="{C3380CC4-5D6E-409C-BE32-E72D297353CC}">
              <c16:uniqueId val="{0000000E-CD11-40FD-843B-D264CEBA362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accent4">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2">
          <a:satMod val="175000"/>
          <a:alpha val="40000"/>
        </a:schemeClr>
      </a:glow>
      <a:outerShdw blurRad="50800" dir="10800000" algn="bl" rotWithShape="0">
        <a:prstClr val="black">
          <a:alpha val="49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[Book2.xlsx]Calculations!PivotTable4</c:name>
    <c:fmtId val="11"/>
  </c:pivotSource>
  <c:chart>
    <c:title>
      <c:tx>
        <c:rich>
          <a:bodyPr rot="0" spcFirstLastPara="1" vertOverflow="ellipsis" vert="horz" wrap="square" anchor="ctr" anchorCtr="1"/>
          <a:lstStyle/>
          <a:p>
            <a:pPr>
              <a:defRPr sz="1400" b="0" i="0" u="none" strike="noStrike" kern="1200" spc="0" baseline="0">
                <a:solidFill>
                  <a:schemeClr val="accent4">
                    <a:lumMod val="40000"/>
                    <a:lumOff val="60000"/>
                  </a:schemeClr>
                </a:solidFill>
                <a:latin typeface="+mn-lt"/>
                <a:ea typeface="+mn-ea"/>
                <a:cs typeface="+mn-cs"/>
              </a:defRPr>
            </a:pPr>
            <a:r>
              <a:rPr lang="en-US" b="1">
                <a:solidFill>
                  <a:schemeClr val="accent4">
                    <a:lumMod val="60000"/>
                    <a:lumOff val="40000"/>
                  </a:schemeClr>
                </a:solidFill>
                <a:latin typeface="Arial" panose="020B0604020202020204" pitchFamily="34" charset="0"/>
                <a:cs typeface="Arial" panose="020B0604020202020204" pitchFamily="34" charset="0"/>
              </a:rPr>
              <a:t>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40000"/>
                  <a:lumOff val="60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Calculations!$B$21</c:f>
              <c:strCache>
                <c:ptCount val="1"/>
                <c:pt idx="0">
                  <c:v>Total</c:v>
                </c:pt>
              </c:strCache>
            </c:strRef>
          </c:tx>
          <c:spPr>
            <a:ln w="28575" cap="rnd">
              <a:solidFill>
                <a:schemeClr val="accent4">
                  <a:lumMod val="60000"/>
                  <a:lumOff val="40000"/>
                </a:schemeClr>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bg1"/>
                </a:solidFill>
                <a:prstDash val="sysDot"/>
              </a:ln>
              <a:effectLst/>
            </c:spPr>
            <c:trendlineType val="linear"/>
            <c:dispRSqr val="0"/>
            <c:dispEq val="0"/>
          </c:trendline>
          <c:cat>
            <c:strRef>
              <c:f>Calculations!$A$22:$A$27</c:f>
              <c:strCache>
                <c:ptCount val="5"/>
                <c:pt idx="0">
                  <c:v>Jan</c:v>
                </c:pt>
                <c:pt idx="1">
                  <c:v>Feb</c:v>
                </c:pt>
                <c:pt idx="2">
                  <c:v>Mar</c:v>
                </c:pt>
                <c:pt idx="3">
                  <c:v>Apr</c:v>
                </c:pt>
                <c:pt idx="4">
                  <c:v>May</c:v>
                </c:pt>
              </c:strCache>
            </c:strRef>
          </c:cat>
          <c:val>
            <c:numRef>
              <c:f>Calculations!$B$22:$B$27</c:f>
              <c:numCache>
                <c:formatCode>_-* #,##0_-;\-* #,##0_-;_-* "-"??_-;_-@_-</c:formatCode>
                <c:ptCount val="5"/>
                <c:pt idx="0">
                  <c:v>162000</c:v>
                </c:pt>
                <c:pt idx="1">
                  <c:v>206500</c:v>
                </c:pt>
                <c:pt idx="2">
                  <c:v>232500</c:v>
                </c:pt>
                <c:pt idx="3">
                  <c:v>264500</c:v>
                </c:pt>
                <c:pt idx="4">
                  <c:v>438000</c:v>
                </c:pt>
              </c:numCache>
            </c:numRef>
          </c:val>
          <c:smooth val="0"/>
          <c:extLst>
            <c:ext xmlns:c16="http://schemas.microsoft.com/office/drawing/2014/chart" uri="{C3380CC4-5D6E-409C-BE32-E72D297353CC}">
              <c16:uniqueId val="{00000001-8B81-4407-936A-3C6E614E7ACA}"/>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79769776"/>
        <c:axId val="593311504"/>
      </c:lineChart>
      <c:catAx>
        <c:axId val="1279769776"/>
        <c:scaling>
          <c:orientation val="minMax"/>
        </c:scaling>
        <c:delete val="0"/>
        <c:axPos val="b"/>
        <c:numFmt formatCode="General" sourceLinked="1"/>
        <c:majorTickMark val="out"/>
        <c:minorTickMark val="none"/>
        <c:tickLblPos val="nextTo"/>
        <c:spPr>
          <a:noFill/>
          <a:ln w="9525" cap="flat" cmpd="sng" algn="ctr">
            <a:solidFill>
              <a:schemeClr val="accent4">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NG"/>
          </a:p>
        </c:txPr>
        <c:crossAx val="593311504"/>
        <c:crosses val="autoZero"/>
        <c:auto val="1"/>
        <c:lblAlgn val="ctr"/>
        <c:lblOffset val="100"/>
        <c:noMultiLvlLbl val="0"/>
      </c:catAx>
      <c:valAx>
        <c:axId val="593311504"/>
        <c:scaling>
          <c:orientation val="minMax"/>
        </c:scaling>
        <c:delete val="1"/>
        <c:axPos val="l"/>
        <c:numFmt formatCode="_-* #,##0_-;\-* #,##0_-;_-* &quot;-&quot;??_-;_-@_-" sourceLinked="1"/>
        <c:majorTickMark val="out"/>
        <c:minorTickMark val="none"/>
        <c:tickLblPos val="nextTo"/>
        <c:crossAx val="127976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2">
          <a:satMod val="175000"/>
          <a:alpha val="40000"/>
        </a:schemeClr>
      </a:glow>
      <a:outerShdw blurRad="50800" dir="10800000" algn="l" rotWithShape="0">
        <a:prstClr val="black">
          <a:alpha val="49000"/>
        </a:prstClr>
      </a:outerShdw>
      <a:softEdge rad="12700"/>
    </a:effectLst>
  </c:spPr>
  <c:txPr>
    <a:bodyPr/>
    <a:lstStyle/>
    <a:p>
      <a:pPr>
        <a:defRPr>
          <a:solidFill>
            <a:schemeClr val="accent4">
              <a:lumMod val="40000"/>
              <a:lumOff val="6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[Book2.xlsx]Calculations!PivotTable3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60000"/>
                    <a:lumOff val="40000"/>
                  </a:schemeClr>
                </a:solidFill>
                <a:latin typeface="Arial" panose="020B0604020202020204" pitchFamily="34" charset="0"/>
                <a:cs typeface="Arial" panose="020B0604020202020204" pitchFamily="34" charset="0"/>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50800" dir="10800000" algn="ctr" rotWithShape="0">
              <a:prstClr val="black"/>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Total</c:v>
                </c:pt>
              </c:strCache>
            </c:strRef>
          </c:tx>
          <c:spPr>
            <a:solidFill>
              <a:schemeClr val="accent4">
                <a:lumMod val="60000"/>
                <a:lumOff val="40000"/>
              </a:schemeClr>
            </a:solidFill>
            <a:ln>
              <a:noFill/>
            </a:ln>
            <a:effectLst>
              <a:outerShdw blurRad="50800" dir="10800000" algn="ctr" rotWithShape="0">
                <a:prstClr val="black"/>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Calculations!$A$4:$A$7</c:f>
              <c:strCache>
                <c:ptCount val="3"/>
                <c:pt idx="0">
                  <c:v>Electronics</c:v>
                </c:pt>
                <c:pt idx="1">
                  <c:v>Fashion</c:v>
                </c:pt>
                <c:pt idx="2">
                  <c:v>Home Decor</c:v>
                </c:pt>
              </c:strCache>
            </c:strRef>
          </c:cat>
          <c:val>
            <c:numRef>
              <c:f>Calculations!$B$4:$B$7</c:f>
              <c:numCache>
                <c:formatCode>_-* #,##0_-;\-* #,##0_-;_-* "-"??_-;_-@_-</c:formatCode>
                <c:ptCount val="3"/>
                <c:pt idx="0">
                  <c:v>1792000</c:v>
                </c:pt>
                <c:pt idx="1">
                  <c:v>650000</c:v>
                </c:pt>
                <c:pt idx="2">
                  <c:v>1146500</c:v>
                </c:pt>
              </c:numCache>
            </c:numRef>
          </c:val>
          <c:extLst>
            <c:ext xmlns:c16="http://schemas.microsoft.com/office/drawing/2014/chart" uri="{C3380CC4-5D6E-409C-BE32-E72D297353CC}">
              <c16:uniqueId val="{00000000-95EF-4F90-AE56-BBED14F4973F}"/>
            </c:ext>
          </c:extLst>
        </c:ser>
        <c:dLbls>
          <c:dLblPos val="outEnd"/>
          <c:showLegendKey val="0"/>
          <c:showVal val="1"/>
          <c:showCatName val="0"/>
          <c:showSerName val="0"/>
          <c:showPercent val="0"/>
          <c:showBubbleSize val="0"/>
        </c:dLbls>
        <c:gapWidth val="219"/>
        <c:overlap val="-27"/>
        <c:axId val="593317264"/>
        <c:axId val="593317744"/>
      </c:barChart>
      <c:catAx>
        <c:axId val="593317264"/>
        <c:scaling>
          <c:orientation val="minMax"/>
        </c:scaling>
        <c:delete val="0"/>
        <c:axPos val="b"/>
        <c:numFmt formatCode="General" sourceLinked="1"/>
        <c:majorTickMark val="none"/>
        <c:minorTickMark val="none"/>
        <c:tickLblPos val="nextTo"/>
        <c:spPr>
          <a:noFill/>
          <a:ln w="9525" cap="flat" cmpd="sng" algn="ctr">
            <a:solidFill>
              <a:schemeClr val="accent4">
                <a:lumMod val="60000"/>
                <a:lumOff val="40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Arial" panose="020B0604020202020204" pitchFamily="34" charset="0"/>
                <a:ea typeface="+mn-ea"/>
                <a:cs typeface="Arial" panose="020B0604020202020204" pitchFamily="34" charset="0"/>
              </a:defRPr>
            </a:pPr>
            <a:endParaRPr lang="en-NG"/>
          </a:p>
        </c:txPr>
        <c:crossAx val="593317744"/>
        <c:crosses val="autoZero"/>
        <c:auto val="1"/>
        <c:lblAlgn val="ctr"/>
        <c:lblOffset val="100"/>
        <c:noMultiLvlLbl val="0"/>
      </c:catAx>
      <c:valAx>
        <c:axId val="593317744"/>
        <c:scaling>
          <c:orientation val="minMax"/>
        </c:scaling>
        <c:delete val="1"/>
        <c:axPos val="l"/>
        <c:numFmt formatCode="_-* #,##0_-;\-* #,##0_-;_-* &quot;-&quot;??_-;_-@_-" sourceLinked="1"/>
        <c:majorTickMark val="none"/>
        <c:minorTickMark val="none"/>
        <c:tickLblPos val="nextTo"/>
        <c:crossAx val="59331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2">
          <a:satMod val="175000"/>
          <a:alpha val="40000"/>
        </a:schemeClr>
      </a:glow>
      <a:outerShdw blurRad="50800" dir="10800000" algn="bl" rotWithShape="0">
        <a:schemeClr val="tx1">
          <a:alpha val="49000"/>
        </a:schemeClr>
      </a:outerShdw>
      <a:softEdge rad="31750"/>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152400</xdr:colOff>
      <xdr:row>1</xdr:row>
      <xdr:rowOff>4762</xdr:rowOff>
    </xdr:from>
    <xdr:to>
      <xdr:col>10</xdr:col>
      <xdr:colOff>457200</xdr:colOff>
      <xdr:row>15</xdr:row>
      <xdr:rowOff>80962</xdr:rowOff>
    </xdr:to>
    <xdr:graphicFrame macro="">
      <xdr:nvGraphicFramePr>
        <xdr:cNvPr id="2" name="Chart 1">
          <a:extLst>
            <a:ext uri="{FF2B5EF4-FFF2-40B4-BE49-F238E27FC236}">
              <a16:creationId xmlns:a16="http://schemas.microsoft.com/office/drawing/2014/main" id="{CFBCC552-9B66-96AC-D064-8CC0BFB13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16</xdr:row>
      <xdr:rowOff>101674</xdr:rowOff>
    </xdr:from>
    <xdr:to>
      <xdr:col>11</xdr:col>
      <xdr:colOff>419100</xdr:colOff>
      <xdr:row>30</xdr:row>
      <xdr:rowOff>177874</xdr:rowOff>
    </xdr:to>
    <xdr:graphicFrame macro="">
      <xdr:nvGraphicFramePr>
        <xdr:cNvPr id="3" name="Chart 2">
          <a:extLst>
            <a:ext uri="{FF2B5EF4-FFF2-40B4-BE49-F238E27FC236}">
              <a16:creationId xmlns:a16="http://schemas.microsoft.com/office/drawing/2014/main" id="{D30EC967-6133-95A2-6CCA-138243D47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201080</xdr:colOff>
      <xdr:row>31</xdr:row>
      <xdr:rowOff>166309</xdr:rowOff>
    </xdr:from>
    <xdr:to>
      <xdr:col>14</xdr:col>
      <xdr:colOff>317500</xdr:colOff>
      <xdr:row>51</xdr:row>
      <xdr:rowOff>181428</xdr:rowOff>
    </xdr:to>
    <xdr:graphicFrame macro="">
      <xdr:nvGraphicFramePr>
        <xdr:cNvPr id="4" name="Chart 3">
          <a:extLst>
            <a:ext uri="{FF2B5EF4-FFF2-40B4-BE49-F238E27FC236}">
              <a16:creationId xmlns:a16="http://schemas.microsoft.com/office/drawing/2014/main" id="{1DA6E682-23BC-29F1-7956-E6EA24C64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233517</xdr:colOff>
      <xdr:row>53</xdr:row>
      <xdr:rowOff>3378</xdr:rowOff>
    </xdr:from>
    <xdr:to>
      <xdr:col>16</xdr:col>
      <xdr:colOff>153629</xdr:colOff>
      <xdr:row>71</xdr:row>
      <xdr:rowOff>184353</xdr:rowOff>
    </xdr:to>
    <xdr:graphicFrame macro="">
      <xdr:nvGraphicFramePr>
        <xdr:cNvPr id="5" name="Chart 4">
          <a:extLst>
            <a:ext uri="{FF2B5EF4-FFF2-40B4-BE49-F238E27FC236}">
              <a16:creationId xmlns:a16="http://schemas.microsoft.com/office/drawing/2014/main" id="{343E2DF9-1BEB-9396-10B2-C3F29EDD6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109847</xdr:colOff>
      <xdr:row>1</xdr:row>
      <xdr:rowOff>61851</xdr:rowOff>
    </xdr:from>
    <xdr:to>
      <xdr:col>3</xdr:col>
      <xdr:colOff>37111</xdr:colOff>
      <xdr:row>3</xdr:row>
      <xdr:rowOff>111331</xdr:rowOff>
    </xdr:to>
    <xdr:sp macro="" textlink="">
      <xdr:nvSpPr>
        <xdr:cNvPr id="3" name="Rectangle: Rounded Corners 2">
          <a:extLst>
            <a:ext uri="{FF2B5EF4-FFF2-40B4-BE49-F238E27FC236}">
              <a16:creationId xmlns:a16="http://schemas.microsoft.com/office/drawing/2014/main" id="{487398A4-375B-30C1-C988-596953951EF6}"/>
            </a:ext>
          </a:extLst>
        </xdr:cNvPr>
        <xdr:cNvSpPr/>
      </xdr:nvSpPr>
      <xdr:spPr>
        <a:xfrm>
          <a:off x="109847" y="247403"/>
          <a:ext cx="1745673" cy="420584"/>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GB" sz="1600" b="1" baseline="0">
              <a:solidFill>
                <a:schemeClr val="bg2">
                  <a:lumMod val="10000"/>
                </a:schemeClr>
              </a:solidFill>
              <a:latin typeface="Arial Black" panose="020B0A04020102020204" pitchFamily="34" charset="0"/>
              <a:cs typeface="Arial" panose="020B0604020202020204" pitchFamily="34" charset="0"/>
            </a:rPr>
            <a:t> DASHBOARD</a:t>
          </a:r>
          <a:endParaRPr lang="en-NG" sz="1600" b="1">
            <a:solidFill>
              <a:schemeClr val="bg2">
                <a:lumMod val="10000"/>
              </a:schemeClr>
            </a:solidFill>
            <a:latin typeface="Arial Black" panose="020B0A04020102020204" pitchFamily="34" charset="0"/>
            <a:cs typeface="Arial" panose="020B0604020202020204" pitchFamily="34" charset="0"/>
          </a:endParaRPr>
        </a:p>
      </xdr:txBody>
    </xdr:sp>
    <xdr:clientData/>
  </xdr:twoCellAnchor>
  <xdr:twoCellAnchor>
    <xdr:from>
      <xdr:col>3</xdr:col>
      <xdr:colOff>136071</xdr:colOff>
      <xdr:row>1</xdr:row>
      <xdr:rowOff>37110</xdr:rowOff>
    </xdr:from>
    <xdr:to>
      <xdr:col>10</xdr:col>
      <xdr:colOff>420583</xdr:colOff>
      <xdr:row>30</xdr:row>
      <xdr:rowOff>111332</xdr:rowOff>
    </xdr:to>
    <xdr:graphicFrame macro="">
      <xdr:nvGraphicFramePr>
        <xdr:cNvPr id="4" name="Chart 3">
          <a:extLst>
            <a:ext uri="{FF2B5EF4-FFF2-40B4-BE49-F238E27FC236}">
              <a16:creationId xmlns:a16="http://schemas.microsoft.com/office/drawing/2014/main" id="{8AD219C8-A889-4C97-8289-453EE600D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507176</xdr:colOff>
      <xdr:row>1</xdr:row>
      <xdr:rowOff>49483</xdr:rowOff>
    </xdr:from>
    <xdr:to>
      <xdr:col>26</xdr:col>
      <xdr:colOff>432956</xdr:colOff>
      <xdr:row>13</xdr:row>
      <xdr:rowOff>148441</xdr:rowOff>
    </xdr:to>
    <xdr:graphicFrame macro="">
      <xdr:nvGraphicFramePr>
        <xdr:cNvPr id="5" name="Chart 4">
          <a:extLst>
            <a:ext uri="{FF2B5EF4-FFF2-40B4-BE49-F238E27FC236}">
              <a16:creationId xmlns:a16="http://schemas.microsoft.com/office/drawing/2014/main" id="{5F6ABE58-6D35-42ED-A8E4-0CC3A249A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519544</xdr:colOff>
      <xdr:row>14</xdr:row>
      <xdr:rowOff>160812</xdr:rowOff>
    </xdr:from>
    <xdr:to>
      <xdr:col>26</xdr:col>
      <xdr:colOff>395843</xdr:colOff>
      <xdr:row>30</xdr:row>
      <xdr:rowOff>78618</xdr:rowOff>
    </xdr:to>
    <xdr:graphicFrame macro="">
      <xdr:nvGraphicFramePr>
        <xdr:cNvPr id="6" name="Chart 5">
          <a:extLst>
            <a:ext uri="{FF2B5EF4-FFF2-40B4-BE49-F238E27FC236}">
              <a16:creationId xmlns:a16="http://schemas.microsoft.com/office/drawing/2014/main" id="{02888126-F5AF-485E-A446-555DC9F27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61850</xdr:colOff>
      <xdr:row>1</xdr:row>
      <xdr:rowOff>49479</xdr:rowOff>
    </xdr:from>
    <xdr:to>
      <xdr:col>18</xdr:col>
      <xdr:colOff>381255</xdr:colOff>
      <xdr:row>30</xdr:row>
      <xdr:rowOff>86590</xdr:rowOff>
    </xdr:to>
    <xdr:graphicFrame macro="">
      <xdr:nvGraphicFramePr>
        <xdr:cNvPr id="7" name="Chart 6">
          <a:extLst>
            <a:ext uri="{FF2B5EF4-FFF2-40B4-BE49-F238E27FC236}">
              <a16:creationId xmlns:a16="http://schemas.microsoft.com/office/drawing/2014/main" id="{E4C4E6FD-9DCD-449F-ADE4-7615D8E98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86591</xdr:colOff>
      <xdr:row>4</xdr:row>
      <xdr:rowOff>98962</xdr:rowOff>
    </xdr:from>
    <xdr:to>
      <xdr:col>3</xdr:col>
      <xdr:colOff>49481</xdr:colOff>
      <xdr:row>8</xdr:row>
      <xdr:rowOff>49480</xdr:rowOff>
    </xdr:to>
    <xdr:sp macro="" textlink="">
      <xdr:nvSpPr>
        <xdr:cNvPr id="8" name="Rectangle: Rounded Corners 7">
          <a:extLst>
            <a:ext uri="{FF2B5EF4-FFF2-40B4-BE49-F238E27FC236}">
              <a16:creationId xmlns:a16="http://schemas.microsoft.com/office/drawing/2014/main" id="{00750EA1-1312-AA18-4F06-BFFA458A7A36}"/>
            </a:ext>
          </a:extLst>
        </xdr:cNvPr>
        <xdr:cNvSpPr/>
      </xdr:nvSpPr>
      <xdr:spPr>
        <a:xfrm>
          <a:off x="86591" y="841170"/>
          <a:ext cx="1781299" cy="692726"/>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tx1">
                  <a:lumMod val="85000"/>
                  <a:lumOff val="15000"/>
                </a:schemeClr>
              </a:solidFill>
              <a:latin typeface="Arial" panose="020B0604020202020204" pitchFamily="34" charset="0"/>
              <a:cs typeface="Arial" panose="020B0604020202020204" pitchFamily="34" charset="0"/>
            </a:rPr>
            <a:t>NET</a:t>
          </a:r>
          <a:r>
            <a:rPr lang="en-GB" sz="1800" b="1" baseline="0">
              <a:solidFill>
                <a:schemeClr val="tx1">
                  <a:lumMod val="85000"/>
                  <a:lumOff val="15000"/>
                </a:schemeClr>
              </a:solidFill>
              <a:latin typeface="Arial" panose="020B0604020202020204" pitchFamily="34" charset="0"/>
              <a:cs typeface="Arial" panose="020B0604020202020204" pitchFamily="34" charset="0"/>
            </a:rPr>
            <a:t> PROFIT</a:t>
          </a:r>
        </a:p>
        <a:p>
          <a:pPr algn="ctr"/>
          <a:r>
            <a:rPr lang="en-GB" sz="1800" b="1" baseline="0">
              <a:solidFill>
                <a:schemeClr val="tx1">
                  <a:lumMod val="85000"/>
                  <a:lumOff val="15000"/>
                </a:schemeClr>
              </a:solidFill>
              <a:latin typeface="Arial" panose="020B0604020202020204" pitchFamily="34" charset="0"/>
              <a:cs typeface="Arial" panose="020B0604020202020204" pitchFamily="34" charset="0"/>
            </a:rPr>
            <a:t># 1,303,500</a:t>
          </a:r>
          <a:endParaRPr lang="en-NG" sz="1800" b="1">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173181</xdr:colOff>
      <xdr:row>16</xdr:row>
      <xdr:rowOff>49481</xdr:rowOff>
    </xdr:from>
    <xdr:to>
      <xdr:col>2</xdr:col>
      <xdr:colOff>383473</xdr:colOff>
      <xdr:row>28</xdr:row>
      <xdr:rowOff>111331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372A5266-C26A-31B9-383A-CBB6E6DD6C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3181" y="3018312"/>
              <a:ext cx="1422565" cy="22884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173181</xdr:colOff>
      <xdr:row>9</xdr:row>
      <xdr:rowOff>125433</xdr:rowOff>
    </xdr:from>
    <xdr:to>
      <xdr:col>2</xdr:col>
      <xdr:colOff>371104</xdr:colOff>
      <xdr:row>16</xdr:row>
      <xdr:rowOff>49480</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64523E63-6A57-9DDA-7F5F-56FF89737F1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73181" y="1795401"/>
              <a:ext cx="1410196" cy="12229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 refreshedDate="46184.619252546298" createdVersion="8" refreshedVersion="8" minRefreshableVersion="3" recordCount="50" xr:uid="{31FF1788-6827-4682-9F27-8C7DD7FD95CE}">
  <cacheSource type="worksheet">
    <worksheetSource name="Table7"/>
  </cacheSource>
  <cacheFields count="13">
    <cacheField name="Order ID" numFmtId="49">
      <sharedItems/>
    </cacheField>
    <cacheField name="Order Date" numFmtId="14">
      <sharedItems containsSemiMixedTypes="0" containsNonDate="0" containsDate="1" containsString="0" minDate="2026-01-05T00:00:00" maxDate="2026-06-01T00:00:00" count="47">
        <d v="2026-01-05T00:00:00"/>
        <d v="2026-01-08T00:00:00"/>
        <d v="2026-01-12T00:00:00"/>
        <d v="2026-01-15T00:00:00"/>
        <d v="2026-01-19T00:00:00"/>
        <d v="2026-01-22T00:00:00"/>
        <d v="2026-01-26T00:00:00"/>
        <d v="2026-01-29T00:00:00"/>
        <d v="2026-02-02T00:00:00"/>
        <d v="2026-02-05T00:00:00"/>
        <d v="2026-02-09T00:00:00"/>
        <d v="2026-02-12T00:00:00"/>
        <d v="2026-02-15T00:00:00"/>
        <d v="2026-02-19T00:00:00"/>
        <d v="2026-02-23T00:00:00"/>
        <d v="2026-02-26T00:00:00"/>
        <d v="2026-03-01T00:00:00"/>
        <d v="2026-03-04T00:00:00"/>
        <d v="2026-03-08T00:00:00"/>
        <d v="2026-03-11T00:00:00"/>
        <d v="2026-03-15T00:00:00"/>
        <d v="2026-03-19T00:00:00"/>
        <d v="2026-03-22T00:00:00"/>
        <d v="2026-03-26T00:00:00"/>
        <d v="2026-03-30T00:00:00"/>
        <d v="2026-04-02T00:00:00"/>
        <d v="2026-04-05T00:00:00"/>
        <d v="2026-04-09T00:00:00"/>
        <d v="2026-04-12T00:00:00"/>
        <d v="2026-04-16T00:00:00"/>
        <d v="2026-04-19T00:00:00"/>
        <d v="2026-04-23T00:00:00"/>
        <d v="2026-04-26T00:00:00"/>
        <d v="2026-04-29T00:00:00"/>
        <d v="2026-05-02T00:00:00"/>
        <d v="2026-05-05T00:00:00"/>
        <d v="2026-05-08T00:00:00"/>
        <d v="2026-05-12T00:00:00"/>
        <d v="2026-05-15T00:00:00"/>
        <d v="2026-05-18T00:00:00"/>
        <d v="2026-05-21T00:00:00"/>
        <d v="2026-05-24T00:00:00"/>
        <d v="2026-05-26T00:00:00"/>
        <d v="2026-05-28T00:00:00"/>
        <d v="2026-05-29T00:00:00"/>
        <d v="2026-05-30T00:00:00"/>
        <d v="2026-05-31T00:00:00"/>
      </sharedItems>
      <fieldGroup par="12"/>
    </cacheField>
    <cacheField name="Customer Name" numFmtId="0">
      <sharedItems/>
    </cacheField>
    <cacheField name="Region" numFmtId="0">
      <sharedItems count="7">
        <s v="Lagos"/>
        <s v="Ibadan"/>
        <s v="Abuja"/>
        <s v="Port Harcourt"/>
        <s v="Kano"/>
        <s v="Kaduna"/>
        <s v="Calabar"/>
      </sharedItems>
    </cacheField>
    <cacheField name="Product Category" numFmtId="49">
      <sharedItems count="3">
        <s v="Electronics"/>
        <s v="Fashion"/>
        <s v="Home Decor"/>
      </sharedItems>
    </cacheField>
    <cacheField name="Quantity Ordered" numFmtId="0">
      <sharedItems containsSemiMixedTypes="0" containsString="0" containsNumber="1" containsInteger="1" minValue="1" maxValue="5"/>
    </cacheField>
    <cacheField name="Unit Price" numFmtId="164">
      <sharedItems containsSemiMixedTypes="0" containsString="0" containsNumber="1" containsInteger="1" minValue="6000" maxValue="210000"/>
    </cacheField>
    <cacheField name="Product Cost" numFmtId="164">
      <sharedItems containsSemiMixedTypes="0" containsString="0" containsNumber="1" containsInteger="1" minValue="2500" maxValue="150000"/>
    </cacheField>
    <cacheField name="Total Revenue" numFmtId="164">
      <sharedItems containsSemiMixedTypes="0" containsString="0" containsNumber="1" containsInteger="1" minValue="22000" maxValue="210000"/>
    </cacheField>
    <cacheField name="Total Cost" numFmtId="164">
      <sharedItems containsSemiMixedTypes="0" containsString="0" containsNumber="1" containsInteger="1" minValue="11000" maxValue="150000"/>
    </cacheField>
    <cacheField name="Net Profit" numFmtId="164">
      <sharedItems containsSemiMixedTypes="0" containsString="0" containsNumber="1" containsInteger="1" minValue="10000" maxValue="60000"/>
    </cacheField>
    <cacheField name="Days (Order Date)" numFmtId="0" databaseField="0">
      <fieldGroup base="1">
        <rangePr groupBy="days" startDate="2026-01-05T00:00:00" endDate="2026-06-0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26"/>
        </groupItems>
      </fieldGroup>
    </cacheField>
    <cacheField name="Months (Order Date)" numFmtId="0" databaseField="0">
      <fieldGroup base="1">
        <rangePr groupBy="months" startDate="2026-01-05T00:00:00" endDate="2026-06-01T00:00:00"/>
        <groupItems count="14">
          <s v="&lt;05/01/2026"/>
          <s v="Jan"/>
          <s v="Feb"/>
          <s v="Mar"/>
          <s v="Apr"/>
          <s v="May"/>
          <s v="Jun"/>
          <s v="Jul"/>
          <s v="Aug"/>
          <s v="Sep"/>
          <s v="Oct"/>
          <s v="Nov"/>
          <s v="Dec"/>
          <s v="&gt;01/06/2026"/>
        </groupItems>
      </fieldGroup>
    </cacheField>
  </cacheFields>
  <extLst>
    <ext xmlns:x14="http://schemas.microsoft.com/office/spreadsheetml/2009/9/main" uri="{725AE2AE-9491-48be-B2B4-4EB974FC3084}">
      <x14:pivotCacheDefinition pivotCacheId="1564623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001"/>
    <x v="0"/>
    <s v="Chinedu Okafor"/>
    <x v="0"/>
    <x v="0"/>
    <n v="1"/>
    <n v="120000"/>
    <n v="85000"/>
    <n v="120000"/>
    <n v="85000"/>
    <n v="35000"/>
  </r>
  <r>
    <s v="002"/>
    <x v="1"/>
    <s v="Funmi Alao"/>
    <x v="1"/>
    <x v="1"/>
    <n v="3"/>
    <n v="15000"/>
    <n v="7000"/>
    <n v="45000"/>
    <n v="21000"/>
    <n v="24000"/>
  </r>
  <r>
    <s v="003"/>
    <x v="2"/>
    <s v="Tunde Bakare"/>
    <x v="2"/>
    <x v="2"/>
    <n v="2"/>
    <n v="35000"/>
    <n v="22000"/>
    <n v="70000"/>
    <n v="44000"/>
    <n v="26000"/>
  </r>
  <r>
    <s v="004"/>
    <x v="3"/>
    <s v="Ngozi Obi"/>
    <x v="3"/>
    <x v="0"/>
    <n v="1"/>
    <n v="45000"/>
    <n v="31000"/>
    <n v="45000"/>
    <n v="31000"/>
    <n v="14000"/>
  </r>
  <r>
    <s v="005"/>
    <x v="4"/>
    <s v="Blessing Emmanuel"/>
    <x v="4"/>
    <x v="1"/>
    <n v="4"/>
    <n v="8500"/>
    <n v="4000"/>
    <n v="34000"/>
    <n v="16000"/>
    <n v="18000"/>
  </r>
  <r>
    <s v="006"/>
    <x v="5"/>
    <s v="Ibrahim Musa"/>
    <x v="5"/>
    <x v="2"/>
    <n v="1"/>
    <n v="60000"/>
    <n v="42000"/>
    <n v="60000"/>
    <n v="42000"/>
    <n v="18000"/>
  </r>
  <r>
    <s v="007"/>
    <x v="6"/>
    <s v="Amara Nwosu"/>
    <x v="0"/>
    <x v="0"/>
    <n v="2"/>
    <n v="25000"/>
    <n v="18000"/>
    <n v="50000"/>
    <n v="36000"/>
    <n v="14000"/>
  </r>
  <r>
    <s v="008"/>
    <x v="7"/>
    <s v="Yetunde Adebayo"/>
    <x v="1"/>
    <x v="1"/>
    <n v="2"/>
    <n v="12500"/>
    <n v="6000"/>
    <n v="25000"/>
    <n v="12000"/>
    <n v="13000"/>
  </r>
  <r>
    <s v="009"/>
    <x v="8"/>
    <s v="Chioma Nwachukwu"/>
    <x v="2"/>
    <x v="2"/>
    <n v="3"/>
    <n v="18000"/>
    <n v="11000"/>
    <n v="54000"/>
    <n v="33000"/>
    <n v="21000"/>
  </r>
  <r>
    <s v="010"/>
    <x v="9"/>
    <s v="Segun Ogunsanya"/>
    <x v="0"/>
    <x v="0"/>
    <n v="1"/>
    <n v="210000"/>
    <n v="150000"/>
    <n v="210000"/>
    <n v="150000"/>
    <n v="60000"/>
  </r>
  <r>
    <s v="011"/>
    <x v="10"/>
    <s v="Fatima Umar"/>
    <x v="4"/>
    <x v="1"/>
    <n v="5"/>
    <n v="6000"/>
    <n v="2500"/>
    <n v="30000"/>
    <n v="12500"/>
    <n v="17500"/>
  </r>
  <r>
    <s v="012"/>
    <x v="11"/>
    <s v="Emeka Anyaoku"/>
    <x v="3"/>
    <x v="2"/>
    <n v="2"/>
    <n v="45000"/>
    <n v="28000"/>
    <n v="90000"/>
    <n v="56000"/>
    <n v="34000"/>
  </r>
  <r>
    <s v="013"/>
    <x v="12"/>
    <s v="Bolaji Tinubu"/>
    <x v="0"/>
    <x v="0"/>
    <n v="1"/>
    <n v="85000"/>
    <n v="60000"/>
    <n v="85000"/>
    <n v="60000"/>
    <n v="25000"/>
  </r>
  <r>
    <s v="014"/>
    <x v="13"/>
    <s v="Aisha Bello"/>
    <x v="5"/>
    <x v="1"/>
    <n v="1"/>
    <n v="22000"/>
    <n v="11000"/>
    <n v="22000"/>
    <n v="11000"/>
    <n v="11000"/>
  </r>
  <r>
    <s v="015"/>
    <x v="14"/>
    <s v="Tariq Essien"/>
    <x v="6"/>
    <x v="2"/>
    <n v="4"/>
    <n v="12000"/>
    <n v="7000"/>
    <n v="48000"/>
    <n v="28000"/>
    <n v="20000"/>
  </r>
  <r>
    <s v="016"/>
    <x v="15"/>
    <s v="Olumide Popoola"/>
    <x v="1"/>
    <x v="0"/>
    <n v="2"/>
    <n v="30000"/>
    <n v="21000"/>
    <n v="60000"/>
    <n v="42000"/>
    <n v="18000"/>
  </r>
  <r>
    <s v="017"/>
    <x v="16"/>
    <s v="Grace Jerry"/>
    <x v="2"/>
    <x v="1"/>
    <n v="3"/>
    <n v="14000"/>
    <n v="6500"/>
    <n v="42000"/>
    <n v="19500"/>
    <n v="22500"/>
  </r>
  <r>
    <s v="018"/>
    <x v="17"/>
    <s v="Chinedu Okafor"/>
    <x v="0"/>
    <x v="2"/>
    <n v="1"/>
    <n v="95000"/>
    <n v="65000"/>
    <n v="95000"/>
    <n v="65000"/>
    <n v="30000"/>
  </r>
  <r>
    <s v="019"/>
    <x v="18"/>
    <s v="Amina Yusuf"/>
    <x v="4"/>
    <x v="0"/>
    <n v="1"/>
    <n v="150000"/>
    <n v="110000"/>
    <n v="150000"/>
    <n v="110000"/>
    <n v="40000"/>
  </r>
  <r>
    <s v="020"/>
    <x v="19"/>
    <s v="Uche Silva"/>
    <x v="3"/>
    <x v="1"/>
    <n v="2"/>
    <n v="19500"/>
    <n v="9000"/>
    <n v="39000"/>
    <n v="18000"/>
    <n v="21000"/>
  </r>
  <r>
    <s v="021"/>
    <x v="20"/>
    <s v="Funmi Alao"/>
    <x v="1"/>
    <x v="2"/>
    <n v="2"/>
    <n v="28000"/>
    <n v="17000"/>
    <n v="56000"/>
    <n v="34000"/>
    <n v="22000"/>
  </r>
  <r>
    <s v="022"/>
    <x v="21"/>
    <s v="Tunde Bakare"/>
    <x v="2"/>
    <x v="0"/>
    <n v="3"/>
    <n v="40000"/>
    <n v="28000"/>
    <n v="120000"/>
    <n v="84000"/>
    <n v="36000"/>
  </r>
  <r>
    <s v="023"/>
    <x v="22"/>
    <s v="Ngozi Obi"/>
    <x v="3"/>
    <x v="1"/>
    <n v="1"/>
    <n v="35000"/>
    <n v="18000"/>
    <n v="35000"/>
    <n v="18000"/>
    <n v="17000"/>
  </r>
  <r>
    <s v="024"/>
    <x v="23"/>
    <s v="Ibrahim Musa"/>
    <x v="5"/>
    <x v="0"/>
    <n v="1"/>
    <n v="75000"/>
    <n v="52000"/>
    <n v="75000"/>
    <n v="52000"/>
    <n v="23000"/>
  </r>
  <r>
    <s v="025"/>
    <x v="24"/>
    <s v="Blessing Emmanuel"/>
    <x v="4"/>
    <x v="2"/>
    <n v="3"/>
    <n v="16500"/>
    <n v="9500"/>
    <n v="49500"/>
    <n v="28500"/>
    <n v="21000"/>
  </r>
  <r>
    <s v="026"/>
    <x v="25"/>
    <s v="Amara Nwosu"/>
    <x v="0"/>
    <x v="1"/>
    <n v="4"/>
    <n v="11000"/>
    <n v="5000"/>
    <n v="44000"/>
    <n v="20000"/>
    <n v="24000"/>
  </r>
  <r>
    <s v="027"/>
    <x v="26"/>
    <s v="Yetunde Adebayo"/>
    <x v="1"/>
    <x v="0"/>
    <n v="1"/>
    <n v="135000"/>
    <n v="95000"/>
    <n v="135000"/>
    <n v="95000"/>
    <n v="40000"/>
  </r>
  <r>
    <s v="028"/>
    <x v="27"/>
    <s v="Chioma Nwachukwu"/>
    <x v="2"/>
    <x v="1"/>
    <n v="2"/>
    <n v="25000"/>
    <n v="12000"/>
    <n v="50000"/>
    <n v="24000"/>
    <n v="26000"/>
  </r>
  <r>
    <s v="029"/>
    <x v="28"/>
    <s v="Segun Ogunsanya"/>
    <x v="0"/>
    <x v="2"/>
    <n v="2"/>
    <n v="55000"/>
    <n v="35000"/>
    <n v="110000"/>
    <n v="70000"/>
    <n v="40000"/>
  </r>
  <r>
    <s v="030"/>
    <x v="29"/>
    <s v="Fatima Umar"/>
    <x v="4"/>
    <x v="0"/>
    <n v="2"/>
    <n v="65000"/>
    <n v="45000"/>
    <n v="130000"/>
    <n v="90000"/>
    <n v="40000"/>
  </r>
  <r>
    <s v="031"/>
    <x v="30"/>
    <s v="Emeka Anyaoku"/>
    <x v="3"/>
    <x v="1"/>
    <n v="3"/>
    <n v="15000"/>
    <n v="7000"/>
    <n v="45000"/>
    <n v="21000"/>
    <n v="24000"/>
  </r>
  <r>
    <s v="032"/>
    <x v="31"/>
    <s v="Bolaji Tinubu"/>
    <x v="0"/>
    <x v="2"/>
    <n v="1"/>
    <n v="110000"/>
    <n v="75000"/>
    <n v="110000"/>
    <n v="75000"/>
    <n v="35000"/>
  </r>
  <r>
    <s v="033"/>
    <x v="32"/>
    <s v="Aisha Bello"/>
    <x v="5"/>
    <x v="0"/>
    <n v="1"/>
    <n v="45000"/>
    <n v="32000"/>
    <n v="45000"/>
    <n v="32000"/>
    <n v="13000"/>
  </r>
  <r>
    <s v="034"/>
    <x v="33"/>
    <s v="Tariq Essien"/>
    <x v="6"/>
    <x v="1"/>
    <n v="5"/>
    <n v="8000"/>
    <n v="3500"/>
    <n v="40000"/>
    <n v="17500"/>
    <n v="22500"/>
  </r>
  <r>
    <s v="035"/>
    <x v="34"/>
    <s v="Olumide Popoola"/>
    <x v="1"/>
    <x v="2"/>
    <n v="2"/>
    <n v="22000"/>
    <n v="13000"/>
    <n v="44000"/>
    <n v="26000"/>
    <n v="18000"/>
  </r>
  <r>
    <s v="036"/>
    <x v="35"/>
    <s v="Grace Jerry"/>
    <x v="2"/>
    <x v="0"/>
    <n v="1"/>
    <n v="90000"/>
    <n v="65000"/>
    <n v="90000"/>
    <n v="65000"/>
    <n v="25000"/>
  </r>
  <r>
    <s v="037"/>
    <x v="36"/>
    <s v="Chinedu Okafor"/>
    <x v="0"/>
    <x v="1"/>
    <n v="2"/>
    <n v="17500"/>
    <n v="8000"/>
    <n v="35000"/>
    <n v="16000"/>
    <n v="19000"/>
  </r>
  <r>
    <s v="038"/>
    <x v="37"/>
    <s v="Amina Yusuf"/>
    <x v="4"/>
    <x v="2"/>
    <n v="1"/>
    <n v="40000"/>
    <n v="25000"/>
    <n v="40000"/>
    <n v="25000"/>
    <n v="15000"/>
  </r>
  <r>
    <s v="039"/>
    <x v="38"/>
    <s v="Uche Silva"/>
    <x v="3"/>
    <x v="0"/>
    <n v="2"/>
    <n v="55000"/>
    <n v="38000"/>
    <n v="110000"/>
    <n v="76000"/>
    <n v="34000"/>
  </r>
  <r>
    <s v="040"/>
    <x v="39"/>
    <s v="Funmi Alao"/>
    <x v="1"/>
    <x v="1"/>
    <n v="4"/>
    <n v="9500"/>
    <n v="4500"/>
    <n v="38000"/>
    <n v="18000"/>
    <n v="20000"/>
  </r>
  <r>
    <s v="041"/>
    <x v="40"/>
    <s v="Tunde Bakare"/>
    <x v="2"/>
    <x v="2"/>
    <n v="3"/>
    <n v="31000"/>
    <n v="19000"/>
    <n v="93000"/>
    <n v="57000"/>
    <n v="36000"/>
  </r>
  <r>
    <s v="042"/>
    <x v="41"/>
    <s v="Ngozi Obi"/>
    <x v="3"/>
    <x v="0"/>
    <n v="1"/>
    <n v="185000"/>
    <n v="130000"/>
    <n v="185000"/>
    <n v="130000"/>
    <n v="55000"/>
  </r>
  <r>
    <s v="043"/>
    <x v="42"/>
    <s v="Blessing Emmanuel"/>
    <x v="4"/>
    <x v="1"/>
    <n v="2"/>
    <n v="21000"/>
    <n v="10000"/>
    <n v="42000"/>
    <n v="20000"/>
    <n v="22000"/>
  </r>
  <r>
    <s v="044"/>
    <x v="43"/>
    <s v="Ibrahim Musa"/>
    <x v="5"/>
    <x v="2"/>
    <n v="2"/>
    <n v="45000"/>
    <n v="27000"/>
    <n v="90000"/>
    <n v="54000"/>
    <n v="36000"/>
  </r>
  <r>
    <s v="045"/>
    <x v="44"/>
    <s v="Amara Nwosu"/>
    <x v="0"/>
    <x v="0"/>
    <n v="1"/>
    <n v="32000"/>
    <n v="22000"/>
    <n v="32000"/>
    <n v="22000"/>
    <n v="10000"/>
  </r>
  <r>
    <s v="046"/>
    <x v="45"/>
    <s v="Yetunde Adebayo"/>
    <x v="1"/>
    <x v="1"/>
    <n v="3"/>
    <n v="13000"/>
    <n v="6000"/>
    <n v="39000"/>
    <n v="18000"/>
    <n v="21000"/>
  </r>
  <r>
    <s v="047"/>
    <x v="45"/>
    <s v="Chioma Nwachukwu"/>
    <x v="2"/>
    <x v="2"/>
    <n v="1"/>
    <n v="85000"/>
    <n v="55000"/>
    <n v="85000"/>
    <n v="55000"/>
    <n v="30000"/>
  </r>
  <r>
    <s v="048"/>
    <x v="46"/>
    <s v="Segun Ogunsanya"/>
    <x v="0"/>
    <x v="0"/>
    <n v="2"/>
    <n v="75000"/>
    <n v="50000"/>
    <n v="150000"/>
    <n v="100000"/>
    <n v="50000"/>
  </r>
  <r>
    <s v="049"/>
    <x v="46"/>
    <s v="Fatima Umar"/>
    <x v="4"/>
    <x v="1"/>
    <n v="1"/>
    <n v="45000"/>
    <n v="20000"/>
    <n v="45000"/>
    <n v="20000"/>
    <n v="25000"/>
  </r>
  <r>
    <s v="050"/>
    <x v="46"/>
    <s v="Emeka Anyaoku"/>
    <x v="3"/>
    <x v="2"/>
    <n v="2"/>
    <n v="26000"/>
    <n v="15000"/>
    <n v="52000"/>
    <n v="30000"/>
    <n v="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E587B-2DBB-4F55-A0DF-D468E008377B}"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8:C62" firstHeaderRow="0" firstDataRow="1" firstDataCol="1"/>
  <pivotFields count="13">
    <pivotField showAll="0"/>
    <pivotField numFmtId="14"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8">
        <item x="2"/>
        <item x="6"/>
        <item x="1"/>
        <item x="5"/>
        <item x="4"/>
        <item x="0"/>
        <item x="3"/>
        <item t="default"/>
      </items>
    </pivotField>
    <pivotField axis="axisRow" showAll="0">
      <items count="4">
        <item x="0"/>
        <item x="1"/>
        <item x="2"/>
        <item t="default"/>
      </items>
    </pivotField>
    <pivotField dataField="1" showAll="0"/>
    <pivotField numFmtId="164" showAll="0"/>
    <pivotField numFmtId="164" showAll="0"/>
    <pivotField numFmtId="164" showAll="0"/>
    <pivotField numFmtId="164"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Fields count="1">
    <field x="-2"/>
  </colFields>
  <colItems count="2">
    <i>
      <x/>
    </i>
    <i i="1">
      <x v="1"/>
    </i>
  </colItems>
  <dataFields count="2">
    <dataField name="Sum of Quantity Ordered" fld="5" baseField="0" baseItem="0"/>
    <dataField name="Sum of Net Profit" fld="10" baseField="0" baseItem="0" numFmtId="164"/>
  </dataField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2AAF3A-13C1-45D3-A30E-6595D5A5A6CC}"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B47" firstHeaderRow="1" firstDataRow="1" firstDataCol="1"/>
  <pivotFields count="13">
    <pivotField showAll="0"/>
    <pivotField numFmtId="14"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Row" showAll="0">
      <items count="8">
        <item x="2"/>
        <item x="6"/>
        <item x="1"/>
        <item x="5"/>
        <item x="4"/>
        <item x="0"/>
        <item x="3"/>
        <item t="default"/>
      </items>
    </pivotField>
    <pivotField showAll="0">
      <items count="4">
        <item x="0"/>
        <item x="1"/>
        <item x="2"/>
        <item t="default"/>
      </items>
    </pivotField>
    <pivotField showAll="0"/>
    <pivotField numFmtId="164" showAll="0"/>
    <pivotField numFmtId="164" showAll="0"/>
    <pivotField numFmtId="164" showAll="0"/>
    <pivotField numFmtId="164"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8">
    <i>
      <x/>
    </i>
    <i>
      <x v="1"/>
    </i>
    <i>
      <x v="2"/>
    </i>
    <i>
      <x v="3"/>
    </i>
    <i>
      <x v="4"/>
    </i>
    <i>
      <x v="5"/>
    </i>
    <i>
      <x v="6"/>
    </i>
    <i t="grand">
      <x/>
    </i>
  </rowItems>
  <colItems count="1">
    <i/>
  </colItems>
  <dataFields count="1">
    <dataField name="Sum of Net Profit" fld="10" baseField="0" baseItem="0" numFmtId="164"/>
  </dataFields>
  <chartFormats count="9">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3" count="1" selected="0">
            <x v="0"/>
          </reference>
        </references>
      </pivotArea>
    </chartFormat>
    <chartFormat chart="2" format="11">
      <pivotArea type="data" outline="0" fieldPosition="0">
        <references count="2">
          <reference field="4294967294" count="1" selected="0">
            <x v="0"/>
          </reference>
          <reference field="3" count="1" selected="0">
            <x v="1"/>
          </reference>
        </references>
      </pivotArea>
    </chartFormat>
    <chartFormat chart="2" format="12">
      <pivotArea type="data" outline="0" fieldPosition="0">
        <references count="2">
          <reference field="4294967294" count="1" selected="0">
            <x v="0"/>
          </reference>
          <reference field="3" count="1" selected="0">
            <x v="2"/>
          </reference>
        </references>
      </pivotArea>
    </chartFormat>
    <chartFormat chart="2" format="13">
      <pivotArea type="data" outline="0" fieldPosition="0">
        <references count="2">
          <reference field="4294967294" count="1" selected="0">
            <x v="0"/>
          </reference>
          <reference field="3" count="1" selected="0">
            <x v="3"/>
          </reference>
        </references>
      </pivotArea>
    </chartFormat>
    <chartFormat chart="2" format="14">
      <pivotArea type="data" outline="0" fieldPosition="0">
        <references count="2">
          <reference field="4294967294" count="1" selected="0">
            <x v="0"/>
          </reference>
          <reference field="3" count="1" selected="0">
            <x v="4"/>
          </reference>
        </references>
      </pivotArea>
    </chartFormat>
    <chartFormat chart="2" format="15">
      <pivotArea type="data" outline="0" fieldPosition="0">
        <references count="2">
          <reference field="4294967294" count="1" selected="0">
            <x v="0"/>
          </reference>
          <reference field="3" count="1" selected="0">
            <x v="5"/>
          </reference>
        </references>
      </pivotArea>
    </chartFormat>
    <chartFormat chart="2"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0FD753-3F41-4583-92F3-D6529ED8E72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B27" firstHeaderRow="1" firstDataRow="1" firstDataCol="1"/>
  <pivotFields count="13">
    <pivotField showAll="0"/>
    <pivotField numFmtId="14"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8">
        <item x="2"/>
        <item x="6"/>
        <item x="1"/>
        <item x="5"/>
        <item x="4"/>
        <item x="0"/>
        <item x="3"/>
        <item t="default"/>
      </items>
    </pivotField>
    <pivotField showAll="0">
      <items count="4">
        <item x="0"/>
        <item x="1"/>
        <item x="2"/>
        <item t="default"/>
      </items>
    </pivotField>
    <pivotField showAll="0"/>
    <pivotField numFmtId="164" showAll="0"/>
    <pivotField numFmtId="164" showAll="0"/>
    <pivotField numFmtId="164" showAll="0"/>
    <pivotField numFmtId="164" showAll="0"/>
    <pivotField dataField="1" numFmtId="164"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6">
    <i>
      <x v="1"/>
    </i>
    <i>
      <x v="2"/>
    </i>
    <i>
      <x v="3"/>
    </i>
    <i>
      <x v="4"/>
    </i>
    <i>
      <x v="5"/>
    </i>
    <i t="grand">
      <x/>
    </i>
  </rowItems>
  <colItems count="1">
    <i/>
  </colItems>
  <dataFields count="1">
    <dataField name="Sum of Net Profit" fld="10" baseField="0" baseItem="0" numFmtId="164"/>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0424FC-CF5E-46B6-B3A5-4E325BB93852}"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numFmtId="14"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showAll="0">
      <items count="8">
        <item x="2"/>
        <item x="6"/>
        <item x="1"/>
        <item x="5"/>
        <item x="4"/>
        <item x="0"/>
        <item x="3"/>
        <item t="default"/>
      </items>
    </pivotField>
    <pivotField axis="axisRow" showAll="0">
      <items count="4">
        <item x="0"/>
        <item x="1"/>
        <item x="2"/>
        <item t="default"/>
      </items>
    </pivotField>
    <pivotField showAll="0"/>
    <pivotField numFmtId="164" showAll="0"/>
    <pivotField numFmtId="164" showAll="0"/>
    <pivotField dataField="1" numFmtId="164" showAll="0"/>
    <pivotField numFmtId="164"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Total Revenue" fld="8" baseField="0"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7C4B50-A427-46C2-8E4B-225F5FAABE23}" sourceName="Region">
  <pivotTables>
    <pivotTable tabId="2" name="PivotTable6"/>
    <pivotTable tabId="2" name="PivotTable3"/>
    <pivotTable tabId="2" name="PivotTable4"/>
    <pivotTable tabId="2" name="PivotTable5"/>
  </pivotTables>
  <data>
    <tabular pivotCacheId="1564623344">
      <items count="7">
        <i x="2" s="1"/>
        <i x="6" s="1"/>
        <i x="1" s="1"/>
        <i x="5"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8D47E6F-E9FD-4227-A3D2-FD33EC55065C}" sourceName="Product Category">
  <pivotTables>
    <pivotTable tabId="2" name="PivotTable6"/>
    <pivotTable tabId="2" name="PivotTable3"/>
    <pivotTable tabId="2" name="PivotTable4"/>
    <pivotTable tabId="2" name="PivotTable5"/>
  </pivotTables>
  <data>
    <tabular pivotCacheId="156462334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A4583FD-9D2D-49C1-B834-325E1EF60226}" cache="Slicer_Region" caption="Region" style="My customm theme" rowHeight="241300"/>
  <slicer name="Product Category" xr10:uid="{11FA65D2-FA13-4D77-86A5-123A643B7908}" cache="Slicer_Product_Category" caption="Product Category" style="My customm the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09D5D3-8C1D-451E-A4F7-55B11AB758FE}" name="Table7" displayName="Table7" ref="A1:K51" totalsRowShown="0" headerRowDxfId="14" tableBorderDxfId="13" headerRowCellStyle="Comma">
  <autoFilter ref="A1:K51" xr:uid="{EC09D5D3-8C1D-451E-A4F7-55B11AB758FE}"/>
  <tableColumns count="11">
    <tableColumn id="1" xr3:uid="{D30AF513-4A5D-4E85-8D56-1839779FFA69}" name="Order ID" dataDxfId="5"/>
    <tableColumn id="2" xr3:uid="{49B35694-9026-41D3-BEE7-C9DF939A0F6D}" name="Order Date" dataDxfId="6"/>
    <tableColumn id="3" xr3:uid="{6C7F88D5-61D1-4B3D-924A-FEB742F5A8D3}" name="Customer Name" dataDxfId="12"/>
    <tableColumn id="4" xr3:uid="{D92ACADD-262B-4F27-A15A-26F3C2651183}" name="Region" dataDxfId="11"/>
    <tableColumn id="5" xr3:uid="{3535ABD4-1E19-4A9A-BCD2-C8BF12FE0298}" name="Product Category" dataDxfId="10"/>
    <tableColumn id="6" xr3:uid="{BCEE9572-0416-44D9-BD1D-48B8A85A20CF}" name="Quantity Ordered" dataDxfId="9"/>
    <tableColumn id="7" xr3:uid="{851B8C0E-4C8F-4239-AEB4-1933D9CFF9AB}" name="Unit Price" dataDxfId="8" dataCellStyle="Comma"/>
    <tableColumn id="8" xr3:uid="{419F4389-843F-4D85-B317-353FB0B1F7B7}" name="Product Cost" dataDxfId="7" dataCellStyle="Comma"/>
    <tableColumn id="9" xr3:uid="{B7FE47E3-EDE0-4B38-A40A-967977ACD153}" name="Total Revenue" dataDxfId="4">
      <calculatedColumnFormula>Table7[[#This Row],[Quantity Ordered]]*Table7[[#This Row],[Unit Price]]</calculatedColumnFormula>
    </tableColumn>
    <tableColumn id="10" xr3:uid="{9589BCA7-5D37-4056-8309-D33641BB17F8}" name="Total Cost" dataDxfId="3">
      <calculatedColumnFormula>Table7[[#This Row],[Quantity Ordered]]*Table7[[#This Row],[Product Cost]]</calculatedColumnFormula>
    </tableColumn>
    <tableColumn id="11" xr3:uid="{5DAB305C-1AB7-4523-A840-8DD52CF6B9B3}" name="Net Profit" dataDxfId="2">
      <calculatedColumnFormula>Table7[[#This Row],[Total Revenue]]-Table7[[#This Row],[Total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3E39-3C1A-4AF6-A0DD-A0B711986C03}">
  <dimension ref="A1:K51"/>
  <sheetViews>
    <sheetView topLeftCell="A2" workbookViewId="0">
      <selection activeCell="E37" sqref="E37"/>
    </sheetView>
  </sheetViews>
  <sheetFormatPr defaultRowHeight="15" x14ac:dyDescent="0.25"/>
  <cols>
    <col min="1" max="1" width="15.140625" style="29" customWidth="1"/>
    <col min="2" max="2" width="18" style="5" customWidth="1"/>
    <col min="3" max="3" width="20.5703125" customWidth="1"/>
    <col min="4" max="4" width="16.7109375" customWidth="1"/>
    <col min="5" max="5" width="20.85546875" style="23" customWidth="1"/>
    <col min="6" max="6" width="22.7109375" style="5" customWidth="1"/>
    <col min="7" max="7" width="15.5703125" style="14" customWidth="1"/>
    <col min="8" max="8" width="18.85546875" style="14" customWidth="1"/>
    <col min="9" max="9" width="20.28515625" customWidth="1"/>
    <col min="10" max="10" width="15.5703125" customWidth="1"/>
    <col min="11" max="11" width="16.5703125" customWidth="1"/>
  </cols>
  <sheetData>
    <row r="1" spans="1:11" ht="15.75" thickBot="1" x14ac:dyDescent="0.3">
      <c r="A1" s="27" t="s">
        <v>0</v>
      </c>
      <c r="B1" s="1" t="s">
        <v>1</v>
      </c>
      <c r="C1" s="15" t="s">
        <v>2</v>
      </c>
      <c r="D1" s="15" t="s">
        <v>3</v>
      </c>
      <c r="E1" s="16" t="s">
        <v>4</v>
      </c>
      <c r="F1" s="1" t="s">
        <v>5</v>
      </c>
      <c r="G1" s="6" t="s">
        <v>6</v>
      </c>
      <c r="H1" s="7" t="s">
        <v>7</v>
      </c>
      <c r="I1" s="30" t="s">
        <v>87</v>
      </c>
      <c r="J1" s="30" t="s">
        <v>88</v>
      </c>
      <c r="K1" s="31" t="s">
        <v>89</v>
      </c>
    </row>
    <row r="2" spans="1:11" ht="15.75" thickBot="1" x14ac:dyDescent="0.3">
      <c r="A2" s="28" t="s">
        <v>37</v>
      </c>
      <c r="B2" s="24">
        <v>46027</v>
      </c>
      <c r="C2" s="17" t="s">
        <v>8</v>
      </c>
      <c r="D2" s="17" t="s">
        <v>9</v>
      </c>
      <c r="E2" s="18" t="s">
        <v>10</v>
      </c>
      <c r="F2" s="2">
        <v>1</v>
      </c>
      <c r="G2" s="8">
        <v>120000</v>
      </c>
      <c r="H2" s="9">
        <v>85000</v>
      </c>
      <c r="I2" s="32">
        <f>Table7[[#This Row],[Quantity Ordered]]*Table7[[#This Row],[Unit Price]]</f>
        <v>120000</v>
      </c>
      <c r="J2" s="32">
        <f>Table7[[#This Row],[Quantity Ordered]]*Table7[[#This Row],[Product Cost]]</f>
        <v>85000</v>
      </c>
      <c r="K2" s="32">
        <f>Table7[[#This Row],[Total Revenue]]-Table7[[#This Row],[Total Cost]]</f>
        <v>35000</v>
      </c>
    </row>
    <row r="3" spans="1:11" ht="15.75" thickBot="1" x14ac:dyDescent="0.3">
      <c r="A3" s="28" t="s">
        <v>38</v>
      </c>
      <c r="B3" s="25">
        <v>46030</v>
      </c>
      <c r="C3" s="19" t="s">
        <v>11</v>
      </c>
      <c r="D3" s="19" t="s">
        <v>12</v>
      </c>
      <c r="E3" s="20" t="s">
        <v>13</v>
      </c>
      <c r="F3" s="3">
        <v>3</v>
      </c>
      <c r="G3" s="10">
        <v>15000</v>
      </c>
      <c r="H3" s="11">
        <v>7000</v>
      </c>
      <c r="I3" s="32">
        <f>Table7[[#This Row],[Quantity Ordered]]*Table7[[#This Row],[Unit Price]]</f>
        <v>45000</v>
      </c>
      <c r="J3" s="32">
        <f>Table7[[#This Row],[Quantity Ordered]]*Table7[[#This Row],[Product Cost]]</f>
        <v>21000</v>
      </c>
      <c r="K3" s="32">
        <f>Table7[[#This Row],[Total Revenue]]-Table7[[#This Row],[Total Cost]]</f>
        <v>24000</v>
      </c>
    </row>
    <row r="4" spans="1:11" ht="15.75" thickBot="1" x14ac:dyDescent="0.3">
      <c r="A4" s="28" t="s">
        <v>39</v>
      </c>
      <c r="B4" s="24">
        <v>46034</v>
      </c>
      <c r="C4" s="17" t="s">
        <v>14</v>
      </c>
      <c r="D4" s="17" t="s">
        <v>15</v>
      </c>
      <c r="E4" s="18" t="s">
        <v>16</v>
      </c>
      <c r="F4" s="2">
        <v>2</v>
      </c>
      <c r="G4" s="8">
        <v>35000</v>
      </c>
      <c r="H4" s="9">
        <v>22000</v>
      </c>
      <c r="I4" s="32">
        <f>Table7[[#This Row],[Quantity Ordered]]*Table7[[#This Row],[Unit Price]]</f>
        <v>70000</v>
      </c>
      <c r="J4" s="32">
        <f>Table7[[#This Row],[Quantity Ordered]]*Table7[[#This Row],[Product Cost]]</f>
        <v>44000</v>
      </c>
      <c r="K4" s="32">
        <f>Table7[[#This Row],[Total Revenue]]-Table7[[#This Row],[Total Cost]]</f>
        <v>26000</v>
      </c>
    </row>
    <row r="5" spans="1:11" ht="15.75" thickBot="1" x14ac:dyDescent="0.3">
      <c r="A5" s="28" t="s">
        <v>40</v>
      </c>
      <c r="B5" s="25">
        <v>46037</v>
      </c>
      <c r="C5" s="19" t="s">
        <v>17</v>
      </c>
      <c r="D5" s="19" t="s">
        <v>18</v>
      </c>
      <c r="E5" s="20" t="s">
        <v>10</v>
      </c>
      <c r="F5" s="3">
        <v>1</v>
      </c>
      <c r="G5" s="10">
        <v>45000</v>
      </c>
      <c r="H5" s="11">
        <v>31000</v>
      </c>
      <c r="I5" s="32">
        <f>Table7[[#This Row],[Quantity Ordered]]*Table7[[#This Row],[Unit Price]]</f>
        <v>45000</v>
      </c>
      <c r="J5" s="32">
        <f>Table7[[#This Row],[Quantity Ordered]]*Table7[[#This Row],[Product Cost]]</f>
        <v>31000</v>
      </c>
      <c r="K5" s="32">
        <f>Table7[[#This Row],[Total Revenue]]-Table7[[#This Row],[Total Cost]]</f>
        <v>14000</v>
      </c>
    </row>
    <row r="6" spans="1:11" ht="15.75" thickBot="1" x14ac:dyDescent="0.3">
      <c r="A6" s="28" t="s">
        <v>41</v>
      </c>
      <c r="B6" s="24">
        <v>46041</v>
      </c>
      <c r="C6" s="17" t="s">
        <v>19</v>
      </c>
      <c r="D6" s="17" t="s">
        <v>20</v>
      </c>
      <c r="E6" s="18" t="s">
        <v>13</v>
      </c>
      <c r="F6" s="2">
        <v>4</v>
      </c>
      <c r="G6" s="8">
        <v>8500</v>
      </c>
      <c r="H6" s="9">
        <v>4000</v>
      </c>
      <c r="I6" s="32">
        <f>Table7[[#This Row],[Quantity Ordered]]*Table7[[#This Row],[Unit Price]]</f>
        <v>34000</v>
      </c>
      <c r="J6" s="32">
        <f>Table7[[#This Row],[Quantity Ordered]]*Table7[[#This Row],[Product Cost]]</f>
        <v>16000</v>
      </c>
      <c r="K6" s="32">
        <f>Table7[[#This Row],[Total Revenue]]-Table7[[#This Row],[Total Cost]]</f>
        <v>18000</v>
      </c>
    </row>
    <row r="7" spans="1:11" ht="15.75" thickBot="1" x14ac:dyDescent="0.3">
      <c r="A7" s="28" t="s">
        <v>42</v>
      </c>
      <c r="B7" s="25">
        <v>46044</v>
      </c>
      <c r="C7" s="19" t="s">
        <v>21</v>
      </c>
      <c r="D7" s="19" t="s">
        <v>22</v>
      </c>
      <c r="E7" s="20" t="s">
        <v>16</v>
      </c>
      <c r="F7" s="3">
        <v>1</v>
      </c>
      <c r="G7" s="10">
        <v>60000</v>
      </c>
      <c r="H7" s="11">
        <v>42000</v>
      </c>
      <c r="I7" s="32">
        <f>Table7[[#This Row],[Quantity Ordered]]*Table7[[#This Row],[Unit Price]]</f>
        <v>60000</v>
      </c>
      <c r="J7" s="32">
        <f>Table7[[#This Row],[Quantity Ordered]]*Table7[[#This Row],[Product Cost]]</f>
        <v>42000</v>
      </c>
      <c r="K7" s="32">
        <f>Table7[[#This Row],[Total Revenue]]-Table7[[#This Row],[Total Cost]]</f>
        <v>18000</v>
      </c>
    </row>
    <row r="8" spans="1:11" ht="15.75" thickBot="1" x14ac:dyDescent="0.3">
      <c r="A8" s="28" t="s">
        <v>43</v>
      </c>
      <c r="B8" s="24">
        <v>46048</v>
      </c>
      <c r="C8" s="17" t="s">
        <v>36</v>
      </c>
      <c r="D8" s="17" t="s">
        <v>9</v>
      </c>
      <c r="E8" s="18" t="s">
        <v>10</v>
      </c>
      <c r="F8" s="2">
        <v>2</v>
      </c>
      <c r="G8" s="8">
        <v>25000</v>
      </c>
      <c r="H8" s="9">
        <v>18000</v>
      </c>
      <c r="I8" s="32">
        <f>Table7[[#This Row],[Quantity Ordered]]*Table7[[#This Row],[Unit Price]]</f>
        <v>50000</v>
      </c>
      <c r="J8" s="32">
        <f>Table7[[#This Row],[Quantity Ordered]]*Table7[[#This Row],[Product Cost]]</f>
        <v>36000</v>
      </c>
      <c r="K8" s="32">
        <f>Table7[[#This Row],[Total Revenue]]-Table7[[#This Row],[Total Cost]]</f>
        <v>14000</v>
      </c>
    </row>
    <row r="9" spans="1:11" ht="15.75" thickBot="1" x14ac:dyDescent="0.3">
      <c r="A9" s="28" t="s">
        <v>44</v>
      </c>
      <c r="B9" s="25">
        <v>46051</v>
      </c>
      <c r="C9" s="19" t="s">
        <v>23</v>
      </c>
      <c r="D9" s="19" t="s">
        <v>12</v>
      </c>
      <c r="E9" s="20" t="s">
        <v>13</v>
      </c>
      <c r="F9" s="3">
        <v>2</v>
      </c>
      <c r="G9" s="10">
        <v>12500</v>
      </c>
      <c r="H9" s="11">
        <v>6000</v>
      </c>
      <c r="I9" s="32">
        <f>Table7[[#This Row],[Quantity Ordered]]*Table7[[#This Row],[Unit Price]]</f>
        <v>25000</v>
      </c>
      <c r="J9" s="32">
        <f>Table7[[#This Row],[Quantity Ordered]]*Table7[[#This Row],[Product Cost]]</f>
        <v>12000</v>
      </c>
      <c r="K9" s="32">
        <f>Table7[[#This Row],[Total Revenue]]-Table7[[#This Row],[Total Cost]]</f>
        <v>13000</v>
      </c>
    </row>
    <row r="10" spans="1:11" ht="15.75" thickBot="1" x14ac:dyDescent="0.3">
      <c r="A10" s="28" t="s">
        <v>45</v>
      </c>
      <c r="B10" s="24">
        <v>46055</v>
      </c>
      <c r="C10" s="17" t="s">
        <v>24</v>
      </c>
      <c r="D10" s="17" t="s">
        <v>15</v>
      </c>
      <c r="E10" s="18" t="s">
        <v>16</v>
      </c>
      <c r="F10" s="2">
        <v>3</v>
      </c>
      <c r="G10" s="8">
        <v>18000</v>
      </c>
      <c r="H10" s="9">
        <v>11000</v>
      </c>
      <c r="I10" s="32">
        <f>Table7[[#This Row],[Quantity Ordered]]*Table7[[#This Row],[Unit Price]]</f>
        <v>54000</v>
      </c>
      <c r="J10" s="32">
        <f>Table7[[#This Row],[Quantity Ordered]]*Table7[[#This Row],[Product Cost]]</f>
        <v>33000</v>
      </c>
      <c r="K10" s="32">
        <f>Table7[[#This Row],[Total Revenue]]-Table7[[#This Row],[Total Cost]]</f>
        <v>21000</v>
      </c>
    </row>
    <row r="11" spans="1:11" ht="15.75" thickBot="1" x14ac:dyDescent="0.3">
      <c r="A11" s="28" t="s">
        <v>46</v>
      </c>
      <c r="B11" s="25">
        <v>46058</v>
      </c>
      <c r="C11" s="19" t="s">
        <v>25</v>
      </c>
      <c r="D11" s="19" t="s">
        <v>9</v>
      </c>
      <c r="E11" s="20" t="s">
        <v>10</v>
      </c>
      <c r="F11" s="3">
        <v>1</v>
      </c>
      <c r="G11" s="10">
        <v>210000</v>
      </c>
      <c r="H11" s="11">
        <v>150000</v>
      </c>
      <c r="I11" s="32">
        <f>Table7[[#This Row],[Quantity Ordered]]*Table7[[#This Row],[Unit Price]]</f>
        <v>210000</v>
      </c>
      <c r="J11" s="32">
        <f>Table7[[#This Row],[Quantity Ordered]]*Table7[[#This Row],[Product Cost]]</f>
        <v>150000</v>
      </c>
      <c r="K11" s="32">
        <f>Table7[[#This Row],[Total Revenue]]-Table7[[#This Row],[Total Cost]]</f>
        <v>60000</v>
      </c>
    </row>
    <row r="12" spans="1:11" ht="15.75" thickBot="1" x14ac:dyDescent="0.3">
      <c r="A12" s="28" t="s">
        <v>47</v>
      </c>
      <c r="B12" s="24">
        <v>46062</v>
      </c>
      <c r="C12" s="17" t="s">
        <v>26</v>
      </c>
      <c r="D12" s="17" t="s">
        <v>20</v>
      </c>
      <c r="E12" s="18" t="s">
        <v>13</v>
      </c>
      <c r="F12" s="2">
        <v>5</v>
      </c>
      <c r="G12" s="8">
        <v>6000</v>
      </c>
      <c r="H12" s="9">
        <v>2500</v>
      </c>
      <c r="I12" s="32">
        <f>Table7[[#This Row],[Quantity Ordered]]*Table7[[#This Row],[Unit Price]]</f>
        <v>30000</v>
      </c>
      <c r="J12" s="32">
        <f>Table7[[#This Row],[Quantity Ordered]]*Table7[[#This Row],[Product Cost]]</f>
        <v>12500</v>
      </c>
      <c r="K12" s="32">
        <f>Table7[[#This Row],[Total Revenue]]-Table7[[#This Row],[Total Cost]]</f>
        <v>17500</v>
      </c>
    </row>
    <row r="13" spans="1:11" ht="15.75" thickBot="1" x14ac:dyDescent="0.3">
      <c r="A13" s="28" t="s">
        <v>48</v>
      </c>
      <c r="B13" s="25">
        <v>46065</v>
      </c>
      <c r="C13" s="19" t="s">
        <v>27</v>
      </c>
      <c r="D13" s="19" t="s">
        <v>18</v>
      </c>
      <c r="E13" s="20" t="s">
        <v>16</v>
      </c>
      <c r="F13" s="3">
        <v>2</v>
      </c>
      <c r="G13" s="10">
        <v>45000</v>
      </c>
      <c r="H13" s="11">
        <v>28000</v>
      </c>
      <c r="I13" s="32">
        <f>Table7[[#This Row],[Quantity Ordered]]*Table7[[#This Row],[Unit Price]]</f>
        <v>90000</v>
      </c>
      <c r="J13" s="32">
        <f>Table7[[#This Row],[Quantity Ordered]]*Table7[[#This Row],[Product Cost]]</f>
        <v>56000</v>
      </c>
      <c r="K13" s="32">
        <f>Table7[[#This Row],[Total Revenue]]-Table7[[#This Row],[Total Cost]]</f>
        <v>34000</v>
      </c>
    </row>
    <row r="14" spans="1:11" ht="15.75" thickBot="1" x14ac:dyDescent="0.3">
      <c r="A14" s="28" t="s">
        <v>49</v>
      </c>
      <c r="B14" s="24">
        <v>46068</v>
      </c>
      <c r="C14" s="17" t="s">
        <v>28</v>
      </c>
      <c r="D14" s="17" t="s">
        <v>9</v>
      </c>
      <c r="E14" s="18" t="s">
        <v>10</v>
      </c>
      <c r="F14" s="2">
        <v>1</v>
      </c>
      <c r="G14" s="8">
        <v>85000</v>
      </c>
      <c r="H14" s="9">
        <v>60000</v>
      </c>
      <c r="I14" s="32">
        <f>Table7[[#This Row],[Quantity Ordered]]*Table7[[#This Row],[Unit Price]]</f>
        <v>85000</v>
      </c>
      <c r="J14" s="32">
        <f>Table7[[#This Row],[Quantity Ordered]]*Table7[[#This Row],[Product Cost]]</f>
        <v>60000</v>
      </c>
      <c r="K14" s="32">
        <f>Table7[[#This Row],[Total Revenue]]-Table7[[#This Row],[Total Cost]]</f>
        <v>25000</v>
      </c>
    </row>
    <row r="15" spans="1:11" ht="15.75" thickBot="1" x14ac:dyDescent="0.3">
      <c r="A15" s="28" t="s">
        <v>50</v>
      </c>
      <c r="B15" s="25">
        <v>46072</v>
      </c>
      <c r="C15" s="19" t="s">
        <v>29</v>
      </c>
      <c r="D15" s="19" t="s">
        <v>22</v>
      </c>
      <c r="E15" s="20" t="s">
        <v>13</v>
      </c>
      <c r="F15" s="3">
        <v>1</v>
      </c>
      <c r="G15" s="10">
        <v>22000</v>
      </c>
      <c r="H15" s="11">
        <v>11000</v>
      </c>
      <c r="I15" s="32">
        <f>Table7[[#This Row],[Quantity Ordered]]*Table7[[#This Row],[Unit Price]]</f>
        <v>22000</v>
      </c>
      <c r="J15" s="32">
        <f>Table7[[#This Row],[Quantity Ordered]]*Table7[[#This Row],[Product Cost]]</f>
        <v>11000</v>
      </c>
      <c r="K15" s="32">
        <f>Table7[[#This Row],[Total Revenue]]-Table7[[#This Row],[Total Cost]]</f>
        <v>11000</v>
      </c>
    </row>
    <row r="16" spans="1:11" ht="15.75" thickBot="1" x14ac:dyDescent="0.3">
      <c r="A16" s="28" t="s">
        <v>51</v>
      </c>
      <c r="B16" s="24">
        <v>46076</v>
      </c>
      <c r="C16" s="17" t="s">
        <v>30</v>
      </c>
      <c r="D16" s="17" t="s">
        <v>31</v>
      </c>
      <c r="E16" s="18" t="s">
        <v>16</v>
      </c>
      <c r="F16" s="2">
        <v>4</v>
      </c>
      <c r="G16" s="8">
        <v>12000</v>
      </c>
      <c r="H16" s="9">
        <v>7000</v>
      </c>
      <c r="I16" s="32">
        <f>Table7[[#This Row],[Quantity Ordered]]*Table7[[#This Row],[Unit Price]]</f>
        <v>48000</v>
      </c>
      <c r="J16" s="32">
        <f>Table7[[#This Row],[Quantity Ordered]]*Table7[[#This Row],[Product Cost]]</f>
        <v>28000</v>
      </c>
      <c r="K16" s="32">
        <f>Table7[[#This Row],[Total Revenue]]-Table7[[#This Row],[Total Cost]]</f>
        <v>20000</v>
      </c>
    </row>
    <row r="17" spans="1:11" ht="15.75" thickBot="1" x14ac:dyDescent="0.3">
      <c r="A17" s="28" t="s">
        <v>52</v>
      </c>
      <c r="B17" s="25">
        <v>46079</v>
      </c>
      <c r="C17" s="19" t="s">
        <v>32</v>
      </c>
      <c r="D17" s="19" t="s">
        <v>12</v>
      </c>
      <c r="E17" s="20" t="s">
        <v>10</v>
      </c>
      <c r="F17" s="3">
        <v>2</v>
      </c>
      <c r="G17" s="10">
        <v>30000</v>
      </c>
      <c r="H17" s="11">
        <v>21000</v>
      </c>
      <c r="I17" s="32">
        <f>Table7[[#This Row],[Quantity Ordered]]*Table7[[#This Row],[Unit Price]]</f>
        <v>60000</v>
      </c>
      <c r="J17" s="32">
        <f>Table7[[#This Row],[Quantity Ordered]]*Table7[[#This Row],[Product Cost]]</f>
        <v>42000</v>
      </c>
      <c r="K17" s="32">
        <f>Table7[[#This Row],[Total Revenue]]-Table7[[#This Row],[Total Cost]]</f>
        <v>18000</v>
      </c>
    </row>
    <row r="18" spans="1:11" ht="15.75" thickBot="1" x14ac:dyDescent="0.3">
      <c r="A18" s="28" t="s">
        <v>53</v>
      </c>
      <c r="B18" s="24">
        <v>46082</v>
      </c>
      <c r="C18" s="17" t="s">
        <v>33</v>
      </c>
      <c r="D18" s="17" t="s">
        <v>15</v>
      </c>
      <c r="E18" s="18" t="s">
        <v>13</v>
      </c>
      <c r="F18" s="2">
        <v>3</v>
      </c>
      <c r="G18" s="8">
        <v>14000</v>
      </c>
      <c r="H18" s="9">
        <v>6500</v>
      </c>
      <c r="I18" s="32">
        <f>Table7[[#This Row],[Quantity Ordered]]*Table7[[#This Row],[Unit Price]]</f>
        <v>42000</v>
      </c>
      <c r="J18" s="32">
        <f>Table7[[#This Row],[Quantity Ordered]]*Table7[[#This Row],[Product Cost]]</f>
        <v>19500</v>
      </c>
      <c r="K18" s="32">
        <f>Table7[[#This Row],[Total Revenue]]-Table7[[#This Row],[Total Cost]]</f>
        <v>22500</v>
      </c>
    </row>
    <row r="19" spans="1:11" ht="15.75" thickBot="1" x14ac:dyDescent="0.3">
      <c r="A19" s="28" t="s">
        <v>54</v>
      </c>
      <c r="B19" s="25">
        <v>46085</v>
      </c>
      <c r="C19" s="19" t="s">
        <v>8</v>
      </c>
      <c r="D19" s="19" t="s">
        <v>9</v>
      </c>
      <c r="E19" s="20" t="s">
        <v>16</v>
      </c>
      <c r="F19" s="3">
        <v>1</v>
      </c>
      <c r="G19" s="10">
        <v>95000</v>
      </c>
      <c r="H19" s="11">
        <v>65000</v>
      </c>
      <c r="I19" s="32">
        <f>Table7[[#This Row],[Quantity Ordered]]*Table7[[#This Row],[Unit Price]]</f>
        <v>95000</v>
      </c>
      <c r="J19" s="32">
        <f>Table7[[#This Row],[Quantity Ordered]]*Table7[[#This Row],[Product Cost]]</f>
        <v>65000</v>
      </c>
      <c r="K19" s="32">
        <f>Table7[[#This Row],[Total Revenue]]-Table7[[#This Row],[Total Cost]]</f>
        <v>30000</v>
      </c>
    </row>
    <row r="20" spans="1:11" ht="15.75" thickBot="1" x14ac:dyDescent="0.3">
      <c r="A20" s="28" t="s">
        <v>55</v>
      </c>
      <c r="B20" s="24">
        <v>46089</v>
      </c>
      <c r="C20" s="17" t="s">
        <v>34</v>
      </c>
      <c r="D20" s="17" t="s">
        <v>20</v>
      </c>
      <c r="E20" s="18" t="s">
        <v>10</v>
      </c>
      <c r="F20" s="2">
        <v>1</v>
      </c>
      <c r="G20" s="8">
        <v>150000</v>
      </c>
      <c r="H20" s="9">
        <v>110000</v>
      </c>
      <c r="I20" s="32">
        <f>Table7[[#This Row],[Quantity Ordered]]*Table7[[#This Row],[Unit Price]]</f>
        <v>150000</v>
      </c>
      <c r="J20" s="32">
        <f>Table7[[#This Row],[Quantity Ordered]]*Table7[[#This Row],[Product Cost]]</f>
        <v>110000</v>
      </c>
      <c r="K20" s="32">
        <f>Table7[[#This Row],[Total Revenue]]-Table7[[#This Row],[Total Cost]]</f>
        <v>40000</v>
      </c>
    </row>
    <row r="21" spans="1:11" ht="15.75" thickBot="1" x14ac:dyDescent="0.3">
      <c r="A21" s="28" t="s">
        <v>56</v>
      </c>
      <c r="B21" s="25">
        <v>46092</v>
      </c>
      <c r="C21" s="19" t="s">
        <v>35</v>
      </c>
      <c r="D21" s="19" t="s">
        <v>18</v>
      </c>
      <c r="E21" s="20" t="s">
        <v>13</v>
      </c>
      <c r="F21" s="3">
        <v>2</v>
      </c>
      <c r="G21" s="10">
        <v>19500</v>
      </c>
      <c r="H21" s="11">
        <v>9000</v>
      </c>
      <c r="I21" s="32">
        <f>Table7[[#This Row],[Quantity Ordered]]*Table7[[#This Row],[Unit Price]]</f>
        <v>39000</v>
      </c>
      <c r="J21" s="32">
        <f>Table7[[#This Row],[Quantity Ordered]]*Table7[[#This Row],[Product Cost]]</f>
        <v>18000</v>
      </c>
      <c r="K21" s="32">
        <f>Table7[[#This Row],[Total Revenue]]-Table7[[#This Row],[Total Cost]]</f>
        <v>21000</v>
      </c>
    </row>
    <row r="22" spans="1:11" ht="15.75" thickBot="1" x14ac:dyDescent="0.3">
      <c r="A22" s="28" t="s">
        <v>57</v>
      </c>
      <c r="B22" s="24">
        <v>46096</v>
      </c>
      <c r="C22" s="17" t="s">
        <v>11</v>
      </c>
      <c r="D22" s="17" t="s">
        <v>12</v>
      </c>
      <c r="E22" s="18" t="s">
        <v>16</v>
      </c>
      <c r="F22" s="2">
        <v>2</v>
      </c>
      <c r="G22" s="8">
        <v>28000</v>
      </c>
      <c r="H22" s="9">
        <v>17000</v>
      </c>
      <c r="I22" s="32">
        <f>Table7[[#This Row],[Quantity Ordered]]*Table7[[#This Row],[Unit Price]]</f>
        <v>56000</v>
      </c>
      <c r="J22" s="32">
        <f>Table7[[#This Row],[Quantity Ordered]]*Table7[[#This Row],[Product Cost]]</f>
        <v>34000</v>
      </c>
      <c r="K22" s="32">
        <f>Table7[[#This Row],[Total Revenue]]-Table7[[#This Row],[Total Cost]]</f>
        <v>22000</v>
      </c>
    </row>
    <row r="23" spans="1:11" ht="15.75" thickBot="1" x14ac:dyDescent="0.3">
      <c r="A23" s="28" t="s">
        <v>58</v>
      </c>
      <c r="B23" s="25">
        <v>46100</v>
      </c>
      <c r="C23" s="19" t="s">
        <v>14</v>
      </c>
      <c r="D23" s="19" t="s">
        <v>15</v>
      </c>
      <c r="E23" s="20" t="s">
        <v>10</v>
      </c>
      <c r="F23" s="3">
        <v>3</v>
      </c>
      <c r="G23" s="10">
        <v>40000</v>
      </c>
      <c r="H23" s="11">
        <v>28000</v>
      </c>
      <c r="I23" s="32">
        <f>Table7[[#This Row],[Quantity Ordered]]*Table7[[#This Row],[Unit Price]]</f>
        <v>120000</v>
      </c>
      <c r="J23" s="32">
        <f>Table7[[#This Row],[Quantity Ordered]]*Table7[[#This Row],[Product Cost]]</f>
        <v>84000</v>
      </c>
      <c r="K23" s="32">
        <f>Table7[[#This Row],[Total Revenue]]-Table7[[#This Row],[Total Cost]]</f>
        <v>36000</v>
      </c>
    </row>
    <row r="24" spans="1:11" ht="15.75" thickBot="1" x14ac:dyDescent="0.3">
      <c r="A24" s="28" t="s">
        <v>59</v>
      </c>
      <c r="B24" s="24">
        <v>46103</v>
      </c>
      <c r="C24" s="17" t="s">
        <v>17</v>
      </c>
      <c r="D24" s="17" t="s">
        <v>18</v>
      </c>
      <c r="E24" s="18" t="s">
        <v>13</v>
      </c>
      <c r="F24" s="2">
        <v>1</v>
      </c>
      <c r="G24" s="8">
        <v>35000</v>
      </c>
      <c r="H24" s="9">
        <v>18000</v>
      </c>
      <c r="I24" s="32">
        <f>Table7[[#This Row],[Quantity Ordered]]*Table7[[#This Row],[Unit Price]]</f>
        <v>35000</v>
      </c>
      <c r="J24" s="32">
        <f>Table7[[#This Row],[Quantity Ordered]]*Table7[[#This Row],[Product Cost]]</f>
        <v>18000</v>
      </c>
      <c r="K24" s="32">
        <f>Table7[[#This Row],[Total Revenue]]-Table7[[#This Row],[Total Cost]]</f>
        <v>17000</v>
      </c>
    </row>
    <row r="25" spans="1:11" ht="15.75" thickBot="1" x14ac:dyDescent="0.3">
      <c r="A25" s="28" t="s">
        <v>60</v>
      </c>
      <c r="B25" s="25">
        <v>46107</v>
      </c>
      <c r="C25" s="19" t="s">
        <v>21</v>
      </c>
      <c r="D25" s="19" t="s">
        <v>22</v>
      </c>
      <c r="E25" s="20" t="s">
        <v>10</v>
      </c>
      <c r="F25" s="3">
        <v>1</v>
      </c>
      <c r="G25" s="10">
        <v>75000</v>
      </c>
      <c r="H25" s="11">
        <v>52000</v>
      </c>
      <c r="I25" s="32">
        <f>Table7[[#This Row],[Quantity Ordered]]*Table7[[#This Row],[Unit Price]]</f>
        <v>75000</v>
      </c>
      <c r="J25" s="32">
        <f>Table7[[#This Row],[Quantity Ordered]]*Table7[[#This Row],[Product Cost]]</f>
        <v>52000</v>
      </c>
      <c r="K25" s="32">
        <f>Table7[[#This Row],[Total Revenue]]-Table7[[#This Row],[Total Cost]]</f>
        <v>23000</v>
      </c>
    </row>
    <row r="26" spans="1:11" ht="15.75" thickBot="1" x14ac:dyDescent="0.3">
      <c r="A26" s="28" t="s">
        <v>61</v>
      </c>
      <c r="B26" s="24">
        <v>46111</v>
      </c>
      <c r="C26" s="17" t="s">
        <v>19</v>
      </c>
      <c r="D26" s="17" t="s">
        <v>20</v>
      </c>
      <c r="E26" s="18" t="s">
        <v>16</v>
      </c>
      <c r="F26" s="2">
        <v>3</v>
      </c>
      <c r="G26" s="8">
        <v>16500</v>
      </c>
      <c r="H26" s="9">
        <v>9500</v>
      </c>
      <c r="I26" s="32">
        <f>Table7[[#This Row],[Quantity Ordered]]*Table7[[#This Row],[Unit Price]]</f>
        <v>49500</v>
      </c>
      <c r="J26" s="32">
        <f>Table7[[#This Row],[Quantity Ordered]]*Table7[[#This Row],[Product Cost]]</f>
        <v>28500</v>
      </c>
      <c r="K26" s="32">
        <f>Table7[[#This Row],[Total Revenue]]-Table7[[#This Row],[Total Cost]]</f>
        <v>21000</v>
      </c>
    </row>
    <row r="27" spans="1:11" ht="15.75" thickBot="1" x14ac:dyDescent="0.3">
      <c r="A27" s="28" t="s">
        <v>62</v>
      </c>
      <c r="B27" s="25">
        <v>46114</v>
      </c>
      <c r="C27" s="19" t="s">
        <v>36</v>
      </c>
      <c r="D27" s="19" t="s">
        <v>9</v>
      </c>
      <c r="E27" s="20" t="s">
        <v>13</v>
      </c>
      <c r="F27" s="3">
        <v>4</v>
      </c>
      <c r="G27" s="10">
        <v>11000</v>
      </c>
      <c r="H27" s="11">
        <v>5000</v>
      </c>
      <c r="I27" s="32">
        <f>Table7[[#This Row],[Quantity Ordered]]*Table7[[#This Row],[Unit Price]]</f>
        <v>44000</v>
      </c>
      <c r="J27" s="32">
        <f>Table7[[#This Row],[Quantity Ordered]]*Table7[[#This Row],[Product Cost]]</f>
        <v>20000</v>
      </c>
      <c r="K27" s="32">
        <f>Table7[[#This Row],[Total Revenue]]-Table7[[#This Row],[Total Cost]]</f>
        <v>24000</v>
      </c>
    </row>
    <row r="28" spans="1:11" ht="15.75" thickBot="1" x14ac:dyDescent="0.3">
      <c r="A28" s="28" t="s">
        <v>63</v>
      </c>
      <c r="B28" s="24">
        <v>46117</v>
      </c>
      <c r="C28" s="17" t="s">
        <v>23</v>
      </c>
      <c r="D28" s="17" t="s">
        <v>12</v>
      </c>
      <c r="E28" s="18" t="s">
        <v>10</v>
      </c>
      <c r="F28" s="2">
        <v>1</v>
      </c>
      <c r="G28" s="8">
        <v>135000</v>
      </c>
      <c r="H28" s="9">
        <v>95000</v>
      </c>
      <c r="I28" s="32">
        <f>Table7[[#This Row],[Quantity Ordered]]*Table7[[#This Row],[Unit Price]]</f>
        <v>135000</v>
      </c>
      <c r="J28" s="32">
        <f>Table7[[#This Row],[Quantity Ordered]]*Table7[[#This Row],[Product Cost]]</f>
        <v>95000</v>
      </c>
      <c r="K28" s="32">
        <f>Table7[[#This Row],[Total Revenue]]-Table7[[#This Row],[Total Cost]]</f>
        <v>40000</v>
      </c>
    </row>
    <row r="29" spans="1:11" ht="15.75" thickBot="1" x14ac:dyDescent="0.3">
      <c r="A29" s="28" t="s">
        <v>64</v>
      </c>
      <c r="B29" s="25">
        <v>46121</v>
      </c>
      <c r="C29" s="19" t="s">
        <v>24</v>
      </c>
      <c r="D29" s="19" t="s">
        <v>15</v>
      </c>
      <c r="E29" s="20" t="s">
        <v>13</v>
      </c>
      <c r="F29" s="3">
        <v>2</v>
      </c>
      <c r="G29" s="10">
        <v>25000</v>
      </c>
      <c r="H29" s="11">
        <v>12000</v>
      </c>
      <c r="I29" s="32">
        <f>Table7[[#This Row],[Quantity Ordered]]*Table7[[#This Row],[Unit Price]]</f>
        <v>50000</v>
      </c>
      <c r="J29" s="32">
        <f>Table7[[#This Row],[Quantity Ordered]]*Table7[[#This Row],[Product Cost]]</f>
        <v>24000</v>
      </c>
      <c r="K29" s="32">
        <f>Table7[[#This Row],[Total Revenue]]-Table7[[#This Row],[Total Cost]]</f>
        <v>26000</v>
      </c>
    </row>
    <row r="30" spans="1:11" ht="15.75" thickBot="1" x14ac:dyDescent="0.3">
      <c r="A30" s="28" t="s">
        <v>65</v>
      </c>
      <c r="B30" s="24">
        <v>46124</v>
      </c>
      <c r="C30" s="17" t="s">
        <v>25</v>
      </c>
      <c r="D30" s="17" t="s">
        <v>9</v>
      </c>
      <c r="E30" s="18" t="s">
        <v>16</v>
      </c>
      <c r="F30" s="2">
        <v>2</v>
      </c>
      <c r="G30" s="8">
        <v>55000</v>
      </c>
      <c r="H30" s="9">
        <v>35000</v>
      </c>
      <c r="I30" s="32">
        <f>Table7[[#This Row],[Quantity Ordered]]*Table7[[#This Row],[Unit Price]]</f>
        <v>110000</v>
      </c>
      <c r="J30" s="32">
        <f>Table7[[#This Row],[Quantity Ordered]]*Table7[[#This Row],[Product Cost]]</f>
        <v>70000</v>
      </c>
      <c r="K30" s="32">
        <f>Table7[[#This Row],[Total Revenue]]-Table7[[#This Row],[Total Cost]]</f>
        <v>40000</v>
      </c>
    </row>
    <row r="31" spans="1:11" ht="15.75" thickBot="1" x14ac:dyDescent="0.3">
      <c r="A31" s="28" t="s">
        <v>66</v>
      </c>
      <c r="B31" s="25">
        <v>46128</v>
      </c>
      <c r="C31" s="19" t="s">
        <v>26</v>
      </c>
      <c r="D31" s="19" t="s">
        <v>20</v>
      </c>
      <c r="E31" s="20" t="s">
        <v>10</v>
      </c>
      <c r="F31" s="3">
        <v>2</v>
      </c>
      <c r="G31" s="10">
        <v>65000</v>
      </c>
      <c r="H31" s="11">
        <v>45000</v>
      </c>
      <c r="I31" s="32">
        <f>Table7[[#This Row],[Quantity Ordered]]*Table7[[#This Row],[Unit Price]]</f>
        <v>130000</v>
      </c>
      <c r="J31" s="32">
        <f>Table7[[#This Row],[Quantity Ordered]]*Table7[[#This Row],[Product Cost]]</f>
        <v>90000</v>
      </c>
      <c r="K31" s="32">
        <f>Table7[[#This Row],[Total Revenue]]-Table7[[#This Row],[Total Cost]]</f>
        <v>40000</v>
      </c>
    </row>
    <row r="32" spans="1:11" ht="15.75" thickBot="1" x14ac:dyDescent="0.3">
      <c r="A32" s="28" t="s">
        <v>67</v>
      </c>
      <c r="B32" s="24">
        <v>46131</v>
      </c>
      <c r="C32" s="17" t="s">
        <v>27</v>
      </c>
      <c r="D32" s="17" t="s">
        <v>18</v>
      </c>
      <c r="E32" s="18" t="s">
        <v>13</v>
      </c>
      <c r="F32" s="2">
        <v>3</v>
      </c>
      <c r="G32" s="8">
        <v>15000</v>
      </c>
      <c r="H32" s="9">
        <v>7000</v>
      </c>
      <c r="I32" s="32">
        <f>Table7[[#This Row],[Quantity Ordered]]*Table7[[#This Row],[Unit Price]]</f>
        <v>45000</v>
      </c>
      <c r="J32" s="32">
        <f>Table7[[#This Row],[Quantity Ordered]]*Table7[[#This Row],[Product Cost]]</f>
        <v>21000</v>
      </c>
      <c r="K32" s="32">
        <f>Table7[[#This Row],[Total Revenue]]-Table7[[#This Row],[Total Cost]]</f>
        <v>24000</v>
      </c>
    </row>
    <row r="33" spans="1:11" ht="15.75" thickBot="1" x14ac:dyDescent="0.3">
      <c r="A33" s="28" t="s">
        <v>68</v>
      </c>
      <c r="B33" s="25">
        <v>46135</v>
      </c>
      <c r="C33" s="19" t="s">
        <v>28</v>
      </c>
      <c r="D33" s="19" t="s">
        <v>9</v>
      </c>
      <c r="E33" s="20" t="s">
        <v>16</v>
      </c>
      <c r="F33" s="3">
        <v>1</v>
      </c>
      <c r="G33" s="10">
        <v>110000</v>
      </c>
      <c r="H33" s="11">
        <v>75000</v>
      </c>
      <c r="I33" s="32">
        <f>Table7[[#This Row],[Quantity Ordered]]*Table7[[#This Row],[Unit Price]]</f>
        <v>110000</v>
      </c>
      <c r="J33" s="32">
        <f>Table7[[#This Row],[Quantity Ordered]]*Table7[[#This Row],[Product Cost]]</f>
        <v>75000</v>
      </c>
      <c r="K33" s="32">
        <f>Table7[[#This Row],[Total Revenue]]-Table7[[#This Row],[Total Cost]]</f>
        <v>35000</v>
      </c>
    </row>
    <row r="34" spans="1:11" ht="15.75" thickBot="1" x14ac:dyDescent="0.3">
      <c r="A34" s="28" t="s">
        <v>69</v>
      </c>
      <c r="B34" s="24">
        <v>46138</v>
      </c>
      <c r="C34" s="17" t="s">
        <v>29</v>
      </c>
      <c r="D34" s="17" t="s">
        <v>22</v>
      </c>
      <c r="E34" s="18" t="s">
        <v>10</v>
      </c>
      <c r="F34" s="2">
        <v>1</v>
      </c>
      <c r="G34" s="8">
        <v>45000</v>
      </c>
      <c r="H34" s="9">
        <v>32000</v>
      </c>
      <c r="I34" s="32">
        <f>Table7[[#This Row],[Quantity Ordered]]*Table7[[#This Row],[Unit Price]]</f>
        <v>45000</v>
      </c>
      <c r="J34" s="32">
        <f>Table7[[#This Row],[Quantity Ordered]]*Table7[[#This Row],[Product Cost]]</f>
        <v>32000</v>
      </c>
      <c r="K34" s="32">
        <f>Table7[[#This Row],[Total Revenue]]-Table7[[#This Row],[Total Cost]]</f>
        <v>13000</v>
      </c>
    </row>
    <row r="35" spans="1:11" ht="15.75" thickBot="1" x14ac:dyDescent="0.3">
      <c r="A35" s="28" t="s">
        <v>70</v>
      </c>
      <c r="B35" s="25">
        <v>46141</v>
      </c>
      <c r="C35" s="19" t="s">
        <v>30</v>
      </c>
      <c r="D35" s="19" t="s">
        <v>31</v>
      </c>
      <c r="E35" s="20" t="s">
        <v>13</v>
      </c>
      <c r="F35" s="3">
        <v>5</v>
      </c>
      <c r="G35" s="10">
        <v>8000</v>
      </c>
      <c r="H35" s="11">
        <v>3500</v>
      </c>
      <c r="I35" s="32">
        <f>Table7[[#This Row],[Quantity Ordered]]*Table7[[#This Row],[Unit Price]]</f>
        <v>40000</v>
      </c>
      <c r="J35" s="32">
        <f>Table7[[#This Row],[Quantity Ordered]]*Table7[[#This Row],[Product Cost]]</f>
        <v>17500</v>
      </c>
      <c r="K35" s="32">
        <f>Table7[[#This Row],[Total Revenue]]-Table7[[#This Row],[Total Cost]]</f>
        <v>22500</v>
      </c>
    </row>
    <row r="36" spans="1:11" ht="15.75" thickBot="1" x14ac:dyDescent="0.3">
      <c r="A36" s="28" t="s">
        <v>71</v>
      </c>
      <c r="B36" s="24">
        <v>46144</v>
      </c>
      <c r="C36" s="17" t="s">
        <v>32</v>
      </c>
      <c r="D36" s="17" t="s">
        <v>12</v>
      </c>
      <c r="E36" s="18" t="s">
        <v>16</v>
      </c>
      <c r="F36" s="2">
        <v>2</v>
      </c>
      <c r="G36" s="8">
        <v>22000</v>
      </c>
      <c r="H36" s="9">
        <v>13000</v>
      </c>
      <c r="I36" s="32">
        <f>Table7[[#This Row],[Quantity Ordered]]*Table7[[#This Row],[Unit Price]]</f>
        <v>44000</v>
      </c>
      <c r="J36" s="32">
        <f>Table7[[#This Row],[Quantity Ordered]]*Table7[[#This Row],[Product Cost]]</f>
        <v>26000</v>
      </c>
      <c r="K36" s="32">
        <f>Table7[[#This Row],[Total Revenue]]-Table7[[#This Row],[Total Cost]]</f>
        <v>18000</v>
      </c>
    </row>
    <row r="37" spans="1:11" ht="15.75" thickBot="1" x14ac:dyDescent="0.3">
      <c r="A37" s="28" t="s">
        <v>72</v>
      </c>
      <c r="B37" s="25">
        <v>46147</v>
      </c>
      <c r="C37" s="19" t="s">
        <v>33</v>
      </c>
      <c r="D37" s="19" t="s">
        <v>15</v>
      </c>
      <c r="E37" s="20" t="s">
        <v>10</v>
      </c>
      <c r="F37" s="3">
        <v>1</v>
      </c>
      <c r="G37" s="10">
        <v>90000</v>
      </c>
      <c r="H37" s="11">
        <v>65000</v>
      </c>
      <c r="I37" s="32">
        <f>Table7[[#This Row],[Quantity Ordered]]*Table7[[#This Row],[Unit Price]]</f>
        <v>90000</v>
      </c>
      <c r="J37" s="32">
        <f>Table7[[#This Row],[Quantity Ordered]]*Table7[[#This Row],[Product Cost]]</f>
        <v>65000</v>
      </c>
      <c r="K37" s="32">
        <f>Table7[[#This Row],[Total Revenue]]-Table7[[#This Row],[Total Cost]]</f>
        <v>25000</v>
      </c>
    </row>
    <row r="38" spans="1:11" ht="15.75" thickBot="1" x14ac:dyDescent="0.3">
      <c r="A38" s="28" t="s">
        <v>73</v>
      </c>
      <c r="B38" s="24">
        <v>46150</v>
      </c>
      <c r="C38" s="17" t="s">
        <v>8</v>
      </c>
      <c r="D38" s="17" t="s">
        <v>9</v>
      </c>
      <c r="E38" s="18" t="s">
        <v>13</v>
      </c>
      <c r="F38" s="2">
        <v>2</v>
      </c>
      <c r="G38" s="8">
        <v>17500</v>
      </c>
      <c r="H38" s="9">
        <v>8000</v>
      </c>
      <c r="I38" s="32">
        <f>Table7[[#This Row],[Quantity Ordered]]*Table7[[#This Row],[Unit Price]]</f>
        <v>35000</v>
      </c>
      <c r="J38" s="32">
        <f>Table7[[#This Row],[Quantity Ordered]]*Table7[[#This Row],[Product Cost]]</f>
        <v>16000</v>
      </c>
      <c r="K38" s="32">
        <f>Table7[[#This Row],[Total Revenue]]-Table7[[#This Row],[Total Cost]]</f>
        <v>19000</v>
      </c>
    </row>
    <row r="39" spans="1:11" ht="15.75" thickBot="1" x14ac:dyDescent="0.3">
      <c r="A39" s="28" t="s">
        <v>74</v>
      </c>
      <c r="B39" s="25">
        <v>46154</v>
      </c>
      <c r="C39" s="19" t="s">
        <v>34</v>
      </c>
      <c r="D39" s="19" t="s">
        <v>20</v>
      </c>
      <c r="E39" s="20" t="s">
        <v>16</v>
      </c>
      <c r="F39" s="3">
        <v>1</v>
      </c>
      <c r="G39" s="10">
        <v>40000</v>
      </c>
      <c r="H39" s="11">
        <v>25000</v>
      </c>
      <c r="I39" s="32">
        <f>Table7[[#This Row],[Quantity Ordered]]*Table7[[#This Row],[Unit Price]]</f>
        <v>40000</v>
      </c>
      <c r="J39" s="32">
        <f>Table7[[#This Row],[Quantity Ordered]]*Table7[[#This Row],[Product Cost]]</f>
        <v>25000</v>
      </c>
      <c r="K39" s="32">
        <f>Table7[[#This Row],[Total Revenue]]-Table7[[#This Row],[Total Cost]]</f>
        <v>15000</v>
      </c>
    </row>
    <row r="40" spans="1:11" ht="15.75" thickBot="1" x14ac:dyDescent="0.3">
      <c r="A40" s="28" t="s">
        <v>75</v>
      </c>
      <c r="B40" s="24">
        <v>46157</v>
      </c>
      <c r="C40" s="17" t="s">
        <v>35</v>
      </c>
      <c r="D40" s="17" t="s">
        <v>18</v>
      </c>
      <c r="E40" s="18" t="s">
        <v>10</v>
      </c>
      <c r="F40" s="2">
        <v>2</v>
      </c>
      <c r="G40" s="8">
        <v>55000</v>
      </c>
      <c r="H40" s="9">
        <v>38000</v>
      </c>
      <c r="I40" s="32">
        <f>Table7[[#This Row],[Quantity Ordered]]*Table7[[#This Row],[Unit Price]]</f>
        <v>110000</v>
      </c>
      <c r="J40" s="32">
        <f>Table7[[#This Row],[Quantity Ordered]]*Table7[[#This Row],[Product Cost]]</f>
        <v>76000</v>
      </c>
      <c r="K40" s="32">
        <f>Table7[[#This Row],[Total Revenue]]-Table7[[#This Row],[Total Cost]]</f>
        <v>34000</v>
      </c>
    </row>
    <row r="41" spans="1:11" ht="15.75" thickBot="1" x14ac:dyDescent="0.3">
      <c r="A41" s="28" t="s">
        <v>76</v>
      </c>
      <c r="B41" s="25">
        <v>46160</v>
      </c>
      <c r="C41" s="19" t="s">
        <v>11</v>
      </c>
      <c r="D41" s="19" t="s">
        <v>12</v>
      </c>
      <c r="E41" s="20" t="s">
        <v>13</v>
      </c>
      <c r="F41" s="3">
        <v>4</v>
      </c>
      <c r="G41" s="10">
        <v>9500</v>
      </c>
      <c r="H41" s="11">
        <v>4500</v>
      </c>
      <c r="I41" s="32">
        <f>Table7[[#This Row],[Quantity Ordered]]*Table7[[#This Row],[Unit Price]]</f>
        <v>38000</v>
      </c>
      <c r="J41" s="32">
        <f>Table7[[#This Row],[Quantity Ordered]]*Table7[[#This Row],[Product Cost]]</f>
        <v>18000</v>
      </c>
      <c r="K41" s="32">
        <f>Table7[[#This Row],[Total Revenue]]-Table7[[#This Row],[Total Cost]]</f>
        <v>20000</v>
      </c>
    </row>
    <row r="42" spans="1:11" ht="15.75" thickBot="1" x14ac:dyDescent="0.3">
      <c r="A42" s="28" t="s">
        <v>77</v>
      </c>
      <c r="B42" s="24">
        <v>46163</v>
      </c>
      <c r="C42" s="17" t="s">
        <v>14</v>
      </c>
      <c r="D42" s="17" t="s">
        <v>15</v>
      </c>
      <c r="E42" s="18" t="s">
        <v>16</v>
      </c>
      <c r="F42" s="2">
        <v>3</v>
      </c>
      <c r="G42" s="8">
        <v>31000</v>
      </c>
      <c r="H42" s="9">
        <v>19000</v>
      </c>
      <c r="I42" s="32">
        <f>Table7[[#This Row],[Quantity Ordered]]*Table7[[#This Row],[Unit Price]]</f>
        <v>93000</v>
      </c>
      <c r="J42" s="32">
        <f>Table7[[#This Row],[Quantity Ordered]]*Table7[[#This Row],[Product Cost]]</f>
        <v>57000</v>
      </c>
      <c r="K42" s="32">
        <f>Table7[[#This Row],[Total Revenue]]-Table7[[#This Row],[Total Cost]]</f>
        <v>36000</v>
      </c>
    </row>
    <row r="43" spans="1:11" ht="15.75" thickBot="1" x14ac:dyDescent="0.3">
      <c r="A43" s="28" t="s">
        <v>78</v>
      </c>
      <c r="B43" s="25">
        <v>46166</v>
      </c>
      <c r="C43" s="19" t="s">
        <v>17</v>
      </c>
      <c r="D43" s="19" t="s">
        <v>18</v>
      </c>
      <c r="E43" s="20" t="s">
        <v>10</v>
      </c>
      <c r="F43" s="3">
        <v>1</v>
      </c>
      <c r="G43" s="10">
        <v>185000</v>
      </c>
      <c r="H43" s="11">
        <v>130000</v>
      </c>
      <c r="I43" s="32">
        <f>Table7[[#This Row],[Quantity Ordered]]*Table7[[#This Row],[Unit Price]]</f>
        <v>185000</v>
      </c>
      <c r="J43" s="32">
        <f>Table7[[#This Row],[Quantity Ordered]]*Table7[[#This Row],[Product Cost]]</f>
        <v>130000</v>
      </c>
      <c r="K43" s="32">
        <f>Table7[[#This Row],[Total Revenue]]-Table7[[#This Row],[Total Cost]]</f>
        <v>55000</v>
      </c>
    </row>
    <row r="44" spans="1:11" ht="15.75" thickBot="1" x14ac:dyDescent="0.3">
      <c r="A44" s="28" t="s">
        <v>79</v>
      </c>
      <c r="B44" s="24">
        <v>46168</v>
      </c>
      <c r="C44" s="17" t="s">
        <v>19</v>
      </c>
      <c r="D44" s="17" t="s">
        <v>20</v>
      </c>
      <c r="E44" s="18" t="s">
        <v>13</v>
      </c>
      <c r="F44" s="2">
        <v>2</v>
      </c>
      <c r="G44" s="8">
        <v>21000</v>
      </c>
      <c r="H44" s="9">
        <v>10000</v>
      </c>
      <c r="I44" s="32">
        <f>Table7[[#This Row],[Quantity Ordered]]*Table7[[#This Row],[Unit Price]]</f>
        <v>42000</v>
      </c>
      <c r="J44" s="32">
        <f>Table7[[#This Row],[Quantity Ordered]]*Table7[[#This Row],[Product Cost]]</f>
        <v>20000</v>
      </c>
      <c r="K44" s="32">
        <f>Table7[[#This Row],[Total Revenue]]-Table7[[#This Row],[Total Cost]]</f>
        <v>22000</v>
      </c>
    </row>
    <row r="45" spans="1:11" ht="15.75" thickBot="1" x14ac:dyDescent="0.3">
      <c r="A45" s="28" t="s">
        <v>80</v>
      </c>
      <c r="B45" s="25">
        <v>46170</v>
      </c>
      <c r="C45" s="19" t="s">
        <v>21</v>
      </c>
      <c r="D45" s="19" t="s">
        <v>22</v>
      </c>
      <c r="E45" s="20" t="s">
        <v>16</v>
      </c>
      <c r="F45" s="3">
        <v>2</v>
      </c>
      <c r="G45" s="10">
        <v>45000</v>
      </c>
      <c r="H45" s="11">
        <v>27000</v>
      </c>
      <c r="I45" s="32">
        <f>Table7[[#This Row],[Quantity Ordered]]*Table7[[#This Row],[Unit Price]]</f>
        <v>90000</v>
      </c>
      <c r="J45" s="32">
        <f>Table7[[#This Row],[Quantity Ordered]]*Table7[[#This Row],[Product Cost]]</f>
        <v>54000</v>
      </c>
      <c r="K45" s="32">
        <f>Table7[[#This Row],[Total Revenue]]-Table7[[#This Row],[Total Cost]]</f>
        <v>36000</v>
      </c>
    </row>
    <row r="46" spans="1:11" ht="15.75" thickBot="1" x14ac:dyDescent="0.3">
      <c r="A46" s="28" t="s">
        <v>81</v>
      </c>
      <c r="B46" s="24">
        <v>46171</v>
      </c>
      <c r="C46" s="17" t="s">
        <v>36</v>
      </c>
      <c r="D46" s="17" t="s">
        <v>9</v>
      </c>
      <c r="E46" s="18" t="s">
        <v>10</v>
      </c>
      <c r="F46" s="2">
        <v>1</v>
      </c>
      <c r="G46" s="8">
        <v>32000</v>
      </c>
      <c r="H46" s="9">
        <v>22000</v>
      </c>
      <c r="I46" s="32">
        <f>Table7[[#This Row],[Quantity Ordered]]*Table7[[#This Row],[Unit Price]]</f>
        <v>32000</v>
      </c>
      <c r="J46" s="32">
        <f>Table7[[#This Row],[Quantity Ordered]]*Table7[[#This Row],[Product Cost]]</f>
        <v>22000</v>
      </c>
      <c r="K46" s="32">
        <f>Table7[[#This Row],[Total Revenue]]-Table7[[#This Row],[Total Cost]]</f>
        <v>10000</v>
      </c>
    </row>
    <row r="47" spans="1:11" ht="15.75" thickBot="1" x14ac:dyDescent="0.3">
      <c r="A47" s="28" t="s">
        <v>82</v>
      </c>
      <c r="B47" s="25">
        <v>46172</v>
      </c>
      <c r="C47" s="19" t="s">
        <v>23</v>
      </c>
      <c r="D47" s="19" t="s">
        <v>12</v>
      </c>
      <c r="E47" s="20" t="s">
        <v>13</v>
      </c>
      <c r="F47" s="3">
        <v>3</v>
      </c>
      <c r="G47" s="10">
        <v>13000</v>
      </c>
      <c r="H47" s="11">
        <v>6000</v>
      </c>
      <c r="I47" s="32">
        <f>Table7[[#This Row],[Quantity Ordered]]*Table7[[#This Row],[Unit Price]]</f>
        <v>39000</v>
      </c>
      <c r="J47" s="32">
        <f>Table7[[#This Row],[Quantity Ordered]]*Table7[[#This Row],[Product Cost]]</f>
        <v>18000</v>
      </c>
      <c r="K47" s="32">
        <f>Table7[[#This Row],[Total Revenue]]-Table7[[#This Row],[Total Cost]]</f>
        <v>21000</v>
      </c>
    </row>
    <row r="48" spans="1:11" ht="15.75" thickBot="1" x14ac:dyDescent="0.3">
      <c r="A48" s="28" t="s">
        <v>83</v>
      </c>
      <c r="B48" s="24">
        <v>46172</v>
      </c>
      <c r="C48" s="17" t="s">
        <v>24</v>
      </c>
      <c r="D48" s="17" t="s">
        <v>15</v>
      </c>
      <c r="E48" s="18" t="s">
        <v>16</v>
      </c>
      <c r="F48" s="2">
        <v>1</v>
      </c>
      <c r="G48" s="8">
        <v>85000</v>
      </c>
      <c r="H48" s="9">
        <v>55000</v>
      </c>
      <c r="I48" s="32">
        <f>Table7[[#This Row],[Quantity Ordered]]*Table7[[#This Row],[Unit Price]]</f>
        <v>85000</v>
      </c>
      <c r="J48" s="32">
        <f>Table7[[#This Row],[Quantity Ordered]]*Table7[[#This Row],[Product Cost]]</f>
        <v>55000</v>
      </c>
      <c r="K48" s="32">
        <f>Table7[[#This Row],[Total Revenue]]-Table7[[#This Row],[Total Cost]]</f>
        <v>30000</v>
      </c>
    </row>
    <row r="49" spans="1:11" ht="15.75" thickBot="1" x14ac:dyDescent="0.3">
      <c r="A49" s="28" t="s">
        <v>84</v>
      </c>
      <c r="B49" s="25">
        <v>46173</v>
      </c>
      <c r="C49" s="19" t="s">
        <v>25</v>
      </c>
      <c r="D49" s="19" t="s">
        <v>9</v>
      </c>
      <c r="E49" s="20" t="s">
        <v>10</v>
      </c>
      <c r="F49" s="3">
        <v>2</v>
      </c>
      <c r="G49" s="10">
        <v>75000</v>
      </c>
      <c r="H49" s="11">
        <v>50000</v>
      </c>
      <c r="I49" s="32">
        <f>Table7[[#This Row],[Quantity Ordered]]*Table7[[#This Row],[Unit Price]]</f>
        <v>150000</v>
      </c>
      <c r="J49" s="32">
        <f>Table7[[#This Row],[Quantity Ordered]]*Table7[[#This Row],[Product Cost]]</f>
        <v>100000</v>
      </c>
      <c r="K49" s="32">
        <f>Table7[[#This Row],[Total Revenue]]-Table7[[#This Row],[Total Cost]]</f>
        <v>50000</v>
      </c>
    </row>
    <row r="50" spans="1:11" ht="15.75" thickBot="1" x14ac:dyDescent="0.3">
      <c r="A50" s="28" t="s">
        <v>85</v>
      </c>
      <c r="B50" s="24">
        <v>46173</v>
      </c>
      <c r="C50" s="17" t="s">
        <v>26</v>
      </c>
      <c r="D50" s="17" t="s">
        <v>20</v>
      </c>
      <c r="E50" s="18" t="s">
        <v>13</v>
      </c>
      <c r="F50" s="2">
        <v>1</v>
      </c>
      <c r="G50" s="8">
        <v>45000</v>
      </c>
      <c r="H50" s="9">
        <v>20000</v>
      </c>
      <c r="I50" s="32">
        <f>Table7[[#This Row],[Quantity Ordered]]*Table7[[#This Row],[Unit Price]]</f>
        <v>45000</v>
      </c>
      <c r="J50" s="32">
        <f>Table7[[#This Row],[Quantity Ordered]]*Table7[[#This Row],[Product Cost]]</f>
        <v>20000</v>
      </c>
      <c r="K50" s="32">
        <f>Table7[[#This Row],[Total Revenue]]-Table7[[#This Row],[Total Cost]]</f>
        <v>25000</v>
      </c>
    </row>
    <row r="51" spans="1:11" ht="15.75" thickBot="1" x14ac:dyDescent="0.3">
      <c r="A51" s="28" t="s">
        <v>86</v>
      </c>
      <c r="B51" s="26">
        <v>46173</v>
      </c>
      <c r="C51" s="21" t="s">
        <v>27</v>
      </c>
      <c r="D51" s="21" t="s">
        <v>18</v>
      </c>
      <c r="E51" s="22" t="s">
        <v>16</v>
      </c>
      <c r="F51" s="4">
        <v>2</v>
      </c>
      <c r="G51" s="12">
        <v>26000</v>
      </c>
      <c r="H51" s="13">
        <v>15000</v>
      </c>
      <c r="I51" s="32">
        <f>Table7[[#This Row],[Quantity Ordered]]*Table7[[#This Row],[Unit Price]]</f>
        <v>52000</v>
      </c>
      <c r="J51" s="32">
        <f>Table7[[#This Row],[Quantity Ordered]]*Table7[[#This Row],[Product Cost]]</f>
        <v>30000</v>
      </c>
      <c r="K51" s="32">
        <f>Table7[[#This Row],[Total Revenue]]-Table7[[#This Row],[Total Cost]]</f>
        <v>22000</v>
      </c>
    </row>
  </sheetData>
  <phoneticPr fontId="4" type="noConversion"/>
  <pageMargins left="0.7" right="0.7" top="0.75" bottom="0.75" header="0.3" footer="0.3"/>
  <pageSetup paperSize="9" orientation="portrait" r:id="rId1"/>
  <ignoredErrors>
    <ignoredError sqref="A2:A51"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B8E1-2D55-4087-AA39-15E72B044760}">
  <dimension ref="A3:C62"/>
  <sheetViews>
    <sheetView topLeftCell="A4" zoomScale="83" workbookViewId="0">
      <selection activeCell="R54" sqref="R54"/>
    </sheetView>
  </sheetViews>
  <sheetFormatPr defaultRowHeight="15" x14ac:dyDescent="0.25"/>
  <cols>
    <col min="1" max="1" width="13.5703125" bestFit="1" customWidth="1"/>
    <col min="2" max="3" width="16.42578125" bestFit="1" customWidth="1"/>
  </cols>
  <sheetData>
    <row r="3" spans="1:2" x14ac:dyDescent="0.25">
      <c r="A3" s="33" t="s">
        <v>90</v>
      </c>
      <c r="B3" t="s">
        <v>97</v>
      </c>
    </row>
    <row r="4" spans="1:2" x14ac:dyDescent="0.25">
      <c r="A4" s="34" t="s">
        <v>10</v>
      </c>
      <c r="B4" s="32">
        <v>1792000</v>
      </c>
    </row>
    <row r="5" spans="1:2" x14ac:dyDescent="0.25">
      <c r="A5" s="34" t="s">
        <v>13</v>
      </c>
      <c r="B5" s="32">
        <v>650000</v>
      </c>
    </row>
    <row r="6" spans="1:2" x14ac:dyDescent="0.25">
      <c r="A6" s="34" t="s">
        <v>16</v>
      </c>
      <c r="B6" s="32">
        <v>1146500</v>
      </c>
    </row>
    <row r="7" spans="1:2" x14ac:dyDescent="0.25">
      <c r="A7" s="34" t="s">
        <v>91</v>
      </c>
      <c r="B7" s="32">
        <v>3588500</v>
      </c>
    </row>
    <row r="21" spans="1:2" x14ac:dyDescent="0.25">
      <c r="A21" s="33" t="s">
        <v>90</v>
      </c>
      <c r="B21" t="s">
        <v>98</v>
      </c>
    </row>
    <row r="22" spans="1:2" x14ac:dyDescent="0.25">
      <c r="A22" s="34" t="s">
        <v>92</v>
      </c>
      <c r="B22" s="32">
        <v>162000</v>
      </c>
    </row>
    <row r="23" spans="1:2" x14ac:dyDescent="0.25">
      <c r="A23" s="34" t="s">
        <v>93</v>
      </c>
      <c r="B23" s="32">
        <v>206500</v>
      </c>
    </row>
    <row r="24" spans="1:2" x14ac:dyDescent="0.25">
      <c r="A24" s="34" t="s">
        <v>94</v>
      </c>
      <c r="B24" s="32">
        <v>232500</v>
      </c>
    </row>
    <row r="25" spans="1:2" x14ac:dyDescent="0.25">
      <c r="A25" s="34" t="s">
        <v>95</v>
      </c>
      <c r="B25" s="32">
        <v>264500</v>
      </c>
    </row>
    <row r="26" spans="1:2" x14ac:dyDescent="0.25">
      <c r="A26" s="34" t="s">
        <v>96</v>
      </c>
      <c r="B26" s="32">
        <v>438000</v>
      </c>
    </row>
    <row r="27" spans="1:2" x14ac:dyDescent="0.25">
      <c r="A27" s="34" t="s">
        <v>91</v>
      </c>
      <c r="B27" s="32">
        <v>1303500</v>
      </c>
    </row>
    <row r="39" spans="1:2" x14ac:dyDescent="0.25">
      <c r="A39" s="33" t="s">
        <v>90</v>
      </c>
      <c r="B39" t="s">
        <v>98</v>
      </c>
    </row>
    <row r="40" spans="1:2" x14ac:dyDescent="0.25">
      <c r="A40" s="34" t="s">
        <v>15</v>
      </c>
      <c r="B40" s="32">
        <v>222500</v>
      </c>
    </row>
    <row r="41" spans="1:2" x14ac:dyDescent="0.25">
      <c r="A41" s="34" t="s">
        <v>31</v>
      </c>
      <c r="B41" s="32">
        <v>42500</v>
      </c>
    </row>
    <row r="42" spans="1:2" x14ac:dyDescent="0.25">
      <c r="A42" s="34" t="s">
        <v>12</v>
      </c>
      <c r="B42" s="32">
        <v>176000</v>
      </c>
    </row>
    <row r="43" spans="1:2" x14ac:dyDescent="0.25">
      <c r="A43" s="34" t="s">
        <v>22</v>
      </c>
      <c r="B43" s="32">
        <v>101000</v>
      </c>
    </row>
    <row r="44" spans="1:2" x14ac:dyDescent="0.25">
      <c r="A44" s="34" t="s">
        <v>20</v>
      </c>
      <c r="B44" s="32">
        <v>198500</v>
      </c>
    </row>
    <row r="45" spans="1:2" x14ac:dyDescent="0.25">
      <c r="A45" s="34" t="s">
        <v>9</v>
      </c>
      <c r="B45" s="32">
        <v>342000</v>
      </c>
    </row>
    <row r="46" spans="1:2" x14ac:dyDescent="0.25">
      <c r="A46" s="34" t="s">
        <v>18</v>
      </c>
      <c r="B46" s="32">
        <v>221000</v>
      </c>
    </row>
    <row r="47" spans="1:2" x14ac:dyDescent="0.25">
      <c r="A47" s="34" t="s">
        <v>91</v>
      </c>
      <c r="B47" s="32">
        <v>1303500</v>
      </c>
    </row>
    <row r="58" spans="1:3" x14ac:dyDescent="0.25">
      <c r="A58" s="33" t="s">
        <v>90</v>
      </c>
      <c r="B58" t="s">
        <v>99</v>
      </c>
      <c r="C58" t="s">
        <v>98</v>
      </c>
    </row>
    <row r="59" spans="1:3" x14ac:dyDescent="0.25">
      <c r="A59" s="34" t="s">
        <v>10</v>
      </c>
      <c r="B59" s="35">
        <v>24</v>
      </c>
      <c r="C59" s="32">
        <v>532000</v>
      </c>
    </row>
    <row r="60" spans="1:3" x14ac:dyDescent="0.25">
      <c r="A60" s="34" t="s">
        <v>13</v>
      </c>
      <c r="B60" s="35">
        <v>47</v>
      </c>
      <c r="C60" s="32">
        <v>347500</v>
      </c>
    </row>
    <row r="61" spans="1:3" x14ac:dyDescent="0.25">
      <c r="A61" s="34" t="s">
        <v>16</v>
      </c>
      <c r="B61" s="35">
        <v>32</v>
      </c>
      <c r="C61" s="32">
        <v>424000</v>
      </c>
    </row>
    <row r="62" spans="1:3" x14ac:dyDescent="0.25">
      <c r="A62" s="34" t="s">
        <v>91</v>
      </c>
      <c r="B62" s="35">
        <v>103</v>
      </c>
      <c r="C62" s="32">
        <v>1303500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FC75-93CC-4186-AC27-1CC2D872A0A6}">
  <dimension ref="A1"/>
  <sheetViews>
    <sheetView showGridLines="0" tabSelected="1" zoomScale="77" zoomScaleNormal="77" workbookViewId="0">
      <selection activeCell="Z37" sqref="Z37"/>
    </sheetView>
  </sheetViews>
  <sheetFormatPr defaultRowHeight="15" x14ac:dyDescent="0.25"/>
  <cols>
    <col min="1" max="16384" width="9.14062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Retail_data</vt:lpstr>
      <vt:lpstr>Calculations</vt:lpstr>
      <vt:lpstr>dashboard</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Ameena Abdulwasiu</dc:creator>
  <cp:lastModifiedBy>Ameena Abdulwasiu</cp:lastModifiedBy>
  <dcterms:created xsi:type="dcterms:W3CDTF">2026-06-07T12:00:31Z</dcterms:created>
  <dcterms:modified xsi:type="dcterms:W3CDTF">2026-06-11T17:44:12Z</dcterms:modified>
</cp:coreProperties>
</file>